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eamvector-my.sharepoint.com/personal/manavi_s_sigmoidanalytics_com/Documents/"/>
    </mc:Choice>
  </mc:AlternateContent>
  <xr:revisionPtr revIDLastSave="15" documentId="8_{1BF39968-9240-1940-9A95-2CC01D6A7AE7}" xr6:coauthVersionLast="47" xr6:coauthVersionMax="47" xr10:uidLastSave="{8A3F0705-C12C-0D42-A3CC-48903F6F2DB8}"/>
  <bookViews>
    <workbookView xWindow="0" yWindow="0" windowWidth="28800" windowHeight="18000" xr2:uid="{6F51847E-CDA1-3942-8EED-99C12E221A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2" i="1"/>
</calcChain>
</file>

<file path=xl/sharedStrings.xml><?xml version="1.0" encoding="utf-8"?>
<sst xmlns="http://schemas.openxmlformats.org/spreadsheetml/2006/main" count="964" uniqueCount="197">
  <si>
    <t>event_line_item_id</t>
  </si>
  <si>
    <t>acv_display_only_adj</t>
  </si>
  <si>
    <t>acv_wtd_distribution</t>
  </si>
  <si>
    <t>acv_feature_and_display_adj</t>
  </si>
  <si>
    <t>acv_feature_only_adj</t>
  </si>
  <si>
    <t>acv_tpr_only_adj</t>
  </si>
  <si>
    <t>avg_items</t>
  </si>
  <si>
    <t>baseline</t>
  </si>
  <si>
    <t>benefit_quantity</t>
  </si>
  <si>
    <t>category_promoted_volume</t>
  </si>
  <si>
    <t>client_promoted_volume</t>
  </si>
  <si>
    <t>competitive_promo_share</t>
  </si>
  <si>
    <t>incremental_volume</t>
  </si>
  <si>
    <t>promo_duration_days</t>
  </si>
  <si>
    <t>promo_investment</t>
  </si>
  <si>
    <t>promo_price_total</t>
  </si>
  <si>
    <t>promo_price_unit</t>
  </si>
  <si>
    <t>promoted_volume</t>
  </si>
  <si>
    <t>retailer_promoted_sales</t>
  </si>
  <si>
    <t>retailer_total_sales</t>
  </si>
  <si>
    <t>total_volume_units</t>
  </si>
  <si>
    <t>year</t>
  </si>
  <si>
    <t>end_date</t>
  </si>
  <si>
    <t>start_date</t>
  </si>
  <si>
    <t>event_id</t>
  </si>
  <si>
    <t>offer_mechanic</t>
  </si>
  <si>
    <t>ppg_id</t>
  </si>
  <si>
    <t>promo_tactic</t>
  </si>
  <si>
    <t>retailer</t>
  </si>
  <si>
    <t>subsegment_name</t>
  </si>
  <si>
    <t>promo_duration_weeks</t>
  </si>
  <si>
    <t>units_per_volume</t>
  </si>
  <si>
    <t>no_promo_price_unit</t>
  </si>
  <si>
    <t>avg_price_unit</t>
  </si>
  <si>
    <t>promo_discount</t>
  </si>
  <si>
    <t>Redemption Rate</t>
  </si>
  <si>
    <t>promoted_volume_pct</t>
  </si>
  <si>
    <t>volume_lift_pct</t>
  </si>
  <si>
    <t>total_volume</t>
  </si>
  <si>
    <t>month</t>
  </si>
  <si>
    <t>avg_base_volume</t>
  </si>
  <si>
    <t>acv_promo_adj</t>
  </si>
  <si>
    <t>holiday_group</t>
  </si>
  <si>
    <t>ppg-retailer</t>
  </si>
  <si>
    <t>hh</t>
  </si>
  <si>
    <t>Dollar General|H2 Q4 2021 LYSOL VBI CORRECTION|APC LIQUID | TRIGGER | LYSOL | LYSOL SB BRAND NEW DAY | 1 X 22 OUNCE|2022-01-09|2022-01-15|unknown|SURFACECARE</t>
  </si>
  <si>
    <t>Dollar General|H2 Q4 2021 LYSOL VBI CORRECTION|2022-01-09|2022-01-15|unknown|SURFACECARE</t>
  </si>
  <si>
    <t>unknown</t>
  </si>
  <si>
    <t>APC LIQUID | TRIGGER | LYSOL | LYSOL SB BRAND NEW DAY | 1 X 22 OUNCE</t>
  </si>
  <si>
    <t>TPR Only</t>
  </si>
  <si>
    <t>Dollar General</t>
  </si>
  <si>
    <t>APC LIQUID</t>
  </si>
  <si>
    <t>0_Regular_week</t>
  </si>
  <si>
    <t>APC LIQUID | TRIGGER | LYSOL | LYSOL SB BRAND NEW DAY | 1 X 22 OUNCEDollar General</t>
  </si>
  <si>
    <t>Dollar General|MAY JUN 2020 LYSOL MULTI BUY FUND|APC LIQUID | POUR SQUEEZE | LYSOL | LYSOL CLEAN &amp; FRESH | 1 X 10.75 OUNCE|2020-05-31|2020-06-06|unknown|SURFACECARE</t>
  </si>
  <si>
    <t>Dollar General|MAY JUN 2020 LYSOL MULTI BUY FUND|2020-05-31|2020-06-06|unknown|SURFACECARE</t>
  </si>
  <si>
    <t>APC LIQUID | POUR SQUEEZE | LYSOL | LYSOL CLEAN &amp; FRESH | 1 X 10.75 OUNCE</t>
  </si>
  <si>
    <t>APC LIQUID | POUR SQUEEZE | LYSOL | LYSOL CLEAN &amp; FRESH | 1 X 10.75 OUNCEDollar General</t>
  </si>
  <si>
    <t>Dollar General|TPR Only|APC LIQUID | POUR SQUEEZE | LYSOL | LYSOL CLEAN &amp; FRESH | 1 X 40 OUNCE|2022-01-23|2022-01-29|unknown|SURFACECARE</t>
  </si>
  <si>
    <t>APC LIQUID | POUR SQUEEZE | LYSOL | LYSOL CLEAN &amp; FRESH | 1 X 40 OUNCE</t>
  </si>
  <si>
    <t>APC LIQUID | POUR SQUEEZE | LYSOL | LYSOL CLEAN &amp; FRESH | 1 X 40 OUNCEDollar General</t>
  </si>
  <si>
    <t>Dollar General|TPR Only|APC LIQUID | POUR SQUEEZE | LYSOL | LYSOL CLEAN &amp; FRESH | 1 X 48 OUNCE|2020-10-18|2020-10-24|unknown|SURFACECARE</t>
  </si>
  <si>
    <t>APC LIQUID | POUR SQUEEZE | LYSOL | LYSOL CLEAN &amp; FRESH | 1 X 48 OUNCE</t>
  </si>
  <si>
    <t>APC LIQUID | POUR SQUEEZE | LYSOL | LYSOL CLEAN &amp; FRESH | 1 X 48 OUNCEDollar General</t>
  </si>
  <si>
    <t>Dollar General|TPR Only|APC LIQUID | POUR SQUEEZE | LYSOL | LYSOL CLEAN &amp; FRESH | 1 X 48 OUNCE|2020-10-25|2020-10-31|unknown|SURFACECARE</t>
  </si>
  <si>
    <t>Dollar General|TPR Only|APC LIQUID | POUR SQUEEZE | LYSOL | LYSOL CLEAN &amp; FRESH | 1 X 48 OUNCE|2020-11-01|2020-11-07|unknown|SURFACECARE</t>
  </si>
  <si>
    <t>Dollar General|TPR Only|APC LIQUID | POUR SQUEEZE | LYSOL | LYSOL CLEAN &amp; FRESH | 1 X 48 OUNCE|2020-11-08|2020-11-14|unknown|SURFACECARE</t>
  </si>
  <si>
    <t>Dollar General|TPR Only|APC LIQUID | POUR SQUEEZE | LYSOL | LYSOL CLEAN &amp; FRESH | 1 X 48 OUNCE|2020-11-15|2020-11-21|unknown|SURFACECARE</t>
  </si>
  <si>
    <t>Dollar General|TPR Only|APC LIQUID | TRIGGER | LYSOL | LYSOL SB BRAND NEW DAY | 1 X 22 OUNCE|2020-03-01|2020-03-07|unknown|SURFACECARE</t>
  </si>
  <si>
    <t>Dollar General|TPR Only|APC WIPES | DISPENSER | LYSOL | LYSOL SB | 1 X 95 COUNT|2020-03-15|2020-03-21|unknown|SURFACECARE</t>
  </si>
  <si>
    <t>APC WIPES | DISPENSER | LYSOL | LYSOL SB | 1 X 95 COUNT</t>
  </si>
  <si>
    <t>APC WIPES</t>
  </si>
  <si>
    <t>APC WIPES | DISPENSER | LYSOL | LYSOL SB | 1 X 95 COUNTDollar General</t>
  </si>
  <si>
    <t>Dollar General|TPR Only|APC WIPES | DISPENSER | LYSOL | LYSOL SB | 1 X 95 COUNT|2020-03-22|2020-03-28|unknown|SURFACECARE</t>
  </si>
  <si>
    <t>Dollar General|TPR Only|APC WIPES | DISPENSER | LYSOL | LYSOL SB | 1 X 95 COUNT|2020-03-29|2020-04-04|unknown|SURFACECARE</t>
  </si>
  <si>
    <t>Dollar General|TPR Only|APC WIPES | DISPENSER | LYSOL | LYSOL SB | 2 X 95 COUNT|2019-10-06|2019-10-12|unknown|SURFACECARE</t>
  </si>
  <si>
    <t>APC WIPES | DISPENSER | LYSOL | LYSOL SB | 2 X 95 COUNT</t>
  </si>
  <si>
    <t>APC WIPES | DISPENSER | LYSOL | LYSOL SB | 2 X 95 COUNTDollar General</t>
  </si>
  <si>
    <t>Dollar General|TPR Only|APC WIPES | DISPENSER | LYSOL | LYSOL SB | 2 X 95 COUNT|2019-11-03|2019-11-09|unknown|SURFACECARE</t>
  </si>
  <si>
    <t>Dollar General|TPR Only|APC WIPES | DISPENSER_CANISTER | LYSOL | LYSOL DUAL ACTION | 1 X 35 COUNT|2022-07-17|2022-07-23|unknown|SURFACECARE</t>
  </si>
  <si>
    <t>APC WIPES | DISPENSER_CANISTER | LYSOL | LYSOL DUAL ACTION | 1 X 35 COUNT</t>
  </si>
  <si>
    <t>APC WIPES | DISPENSER_CANISTER | LYSOL | LYSOL DUAL ACTION | 1 X 35 COUNTDollar General</t>
  </si>
  <si>
    <t>Dollar General|TPR Only|APC WIPES | DISPENSER_CANISTER | LYSOL | LYSOL SB BRAND NEW DAY | 1 X 35 COUNT|2022-08-28|2022-09-03|unknown|SURFACECARE</t>
  </si>
  <si>
    <t>APC WIPES | DISPENSER_CANISTER | LYSOL | LYSOL SB BRAND NEW DAY | 1 X 35 COUNT</t>
  </si>
  <si>
    <t>APC WIPES | DISPENSER_CANISTER | LYSOL | LYSOL SB BRAND NEW DAY | 1 X 35 COUNTDollar General</t>
  </si>
  <si>
    <t>Dollar General|TPR Only|APC WIPES | DISPENSER_CANISTER | LYSOL | LYSOL SB | 1 X 35 COUNT|2020-03-15|2020-03-21|unknown|SURFACECARE</t>
  </si>
  <si>
    <t>APC WIPES | DISPENSER_CANISTER | LYSOL | LYSOL SB | 1 X 35 COUNT</t>
  </si>
  <si>
    <t>APC WIPES | DISPENSER_CANISTER | LYSOL | LYSOL SB | 1 X 35 COUNTDollar General</t>
  </si>
  <si>
    <t>Dollar General|TPR Only|APC WIPES | DISPENSER_CANISTER | LYSOL | LYSOL SB | 1 X 35 COUNT|2020-04-19|2020-04-25|unknown|SURFACECARE</t>
  </si>
  <si>
    <t>Dollar General|TPR Only|APC WIPES | DISPENSER_CANISTER | LYSOL | LYSOL SB | 1 X 35 COUNT|2020-05-03|2020-05-09|unknown|SURFACECARE</t>
  </si>
  <si>
    <t>Dollar General|TPR Only|APC WIPES | DISPENSER_CANISTER | LYSOL | LYSOL SB | 1 X 35 COUNT|2020-06-07|2020-06-13|unknown|SURFACECARE</t>
  </si>
  <si>
    <t>Dollar General|TPR Only|APC WIPES | DISPENSER_CANISTER | LYSOL | LYSOL SB | 1 X 80 COUNT|2020-05-10|2020-05-16|unknown|SURFACECARE</t>
  </si>
  <si>
    <t>APC WIPES | DISPENSER_CANISTER | LYSOL | LYSOL SB | 1 X 80 COUNT</t>
  </si>
  <si>
    <t>APC WIPES | DISPENSER_CANISTER | LYSOL | LYSOL SB | 1 X 80 COUNTDollar General</t>
  </si>
  <si>
    <t>Dollar General|TPR Only|APC WIPES | DISPENSER_CANISTER | LYSOL | LYSOL SB | 2 X 80 COUNT|2019-11-03|2019-11-09|unknown|SURFACECARE</t>
  </si>
  <si>
    <t>APC WIPES | DISPENSER_CANISTER | LYSOL | LYSOL SB | 2 X 80 COUNT</t>
  </si>
  <si>
    <t>APC WIPES | DISPENSER_CANISTER | LYSOL | LYSOL SB | 2 X 80 COUNTDollar General</t>
  </si>
  <si>
    <t>Dollar General|TPR Only|APC WIPES | DISPENSER_CANISTER | LYSOL | LYSOL SB | 2 X 80 COUNT|2019-12-22|2019-12-28|unknown|SURFACECARE</t>
  </si>
  <si>
    <t>Dollar General|TPR Only|APC WIPES | DISPENSER_CANISTER | LYSOL | LYSOL SB | 2 X 80 COUNT|2020-03-15|2020-03-21|unknown|SURFACECARE</t>
  </si>
  <si>
    <t>Dollar General|TPR Only|APC WIPES | DISPENSER_CANISTER | LYSOL | LYSOL SB | 2 X 80 COUNT|2020-03-22|2020-03-28|unknown|SURFACECARE</t>
  </si>
  <si>
    <t>Dollar General|TPR Only|APC WIPES | DISPENSER_CANISTER | LYSOL | LYSOL SB | 2 X 80 COUNT|2020-04-05|2020-04-11|unknown|SURFACECARE</t>
  </si>
  <si>
    <t>Dollar General|TPR Only|APC WIPES | DISPENSER_CANISTER | LYSOL | LYSOL SB | 2 X 80 COUNT|2020-04-12|2020-04-18|unknown|SURFACECARE</t>
  </si>
  <si>
    <t>Dollar General|TPR Only|APC WIPES | DISPENSER_CANISTER | LYSOL | LYSOL SB | 2 X 80 COUNT|2020-05-31|2020-06-06|unknown|SURFACECARE</t>
  </si>
  <si>
    <t>Dollar General|TPR Only|APC WIPES | DISPENSER_CANISTER | LYSOL | LYSOL SB | 2 X 80 COUNT|2020-06-07|2020-06-13|unknown|SURFACECARE</t>
  </si>
  <si>
    <t>Dollar General|TPR Only|APC WIPES | DISPENSER_CANISTER | LYSOL | LYSOL SB | 3 X 35 COUNT|2020-08-09|2020-08-15|unknown|SURFACECARE</t>
  </si>
  <si>
    <t>APC WIPES | DISPENSER_CANISTER | LYSOL | LYSOL SB | 3 X 35 COUNT</t>
  </si>
  <si>
    <t>APC WIPES | DISPENSER_CANISTER | LYSOL | LYSOL SB | 3 X 35 COUNTDollar General</t>
  </si>
  <si>
    <t>Dollar General|TPR Only|APC WIPES | DISPENSER_CANISTER | LYSOL | LYSOL SB | 3 X 35 COUNT|2020-08-16|2020-08-22|unknown|SURFACECARE</t>
  </si>
  <si>
    <t>Dollar General|TPR Only|APC WIPES | DISPENSER_CANISTER | LYSOL | LYSOL SB | 3 X 80 COUNT|2021-06-06|2021-06-12|unknown|SURFACECARE</t>
  </si>
  <si>
    <t>APC WIPES | DISPENSER_CANISTER | LYSOL | LYSOL SB | 3 X 80 COUNT</t>
  </si>
  <si>
    <t>APC WIPES | DISPENSER_CANISTER | LYSOL | LYSOL SB | 3 X 80 COUNTDollar General</t>
  </si>
  <si>
    <t>Dollar General|TPR Only|APC WIPES | WIPE | LYSOL | LYSOL SB | 1 X 15 COUNT|2020-04-26|2020-05-02|unknown|SURFACECARE</t>
  </si>
  <si>
    <t>APC WIPES | WIPE | LYSOL | LYSOL SB | 1 X 15 COUNT</t>
  </si>
  <si>
    <t>APC WIPES | WIPE | LYSOL | LYSOL SB | 1 X 15 COUNTDollar General</t>
  </si>
  <si>
    <t>Dollar General|TPR Only|DISINFECTANT SPRAY | AEROSOL | LYSOL | LYSOL MAX | 1 X 12.5 OUNCE|2020-03-22|2020-03-28|unknown|SURFACECARE</t>
  </si>
  <si>
    <t>DISINFECTANT SPRAY | AEROSOL | LYSOL | LYSOL MAX | 1 X 12.5 OUNCE</t>
  </si>
  <si>
    <t>DISINFECTANT SPRAY</t>
  </si>
  <si>
    <t>DISINFECTANT SPRAY | AEROSOL | LYSOL | LYSOL MAX | 1 X 12.5 OUNCEDollar General</t>
  </si>
  <si>
    <t>Dollar General|TPR Only|DISINFECTANT SPRAY | AEROSOL | LYSOL | LYSOL MAX | 1 X 12.5 OUNCE|2020-03-29|2020-04-04|unknown|SURFACECARE</t>
  </si>
  <si>
    <t>Dollar General|TPR Only|DISINFECTANT SPRAY | AEROSOL | LYSOL | LYSOL MAX | 1 X 12.5 OUNCE|2020-04-05|2020-04-11|unknown|SURFACECARE</t>
  </si>
  <si>
    <t>Dollar General|TPR Only|DISINFECTANT SPRAY | AEROSOL | LYSOL | LYSOL MAX | 1 X 12.5 OUNCE|2020-10-11|2020-10-17|unknown|SURFACECARE</t>
  </si>
  <si>
    <t>Dollar General|TPR Only|DISINFECTANT SPRAY | AEROSOL | LYSOL | LYSOL SB | 1 X 12.5 OUNCE|2020-03-22|2020-03-28|unknown|SURFACECARE</t>
  </si>
  <si>
    <t>DISINFECTANT SPRAY | AEROSOL | LYSOL | LYSOL SB | 1 X 12.5 OUNCE</t>
  </si>
  <si>
    <t>DISINFECTANT SPRAY | AEROSOL | LYSOL | LYSOL SB | 1 X 12.5 OUNCEDollar General</t>
  </si>
  <si>
    <t>Dollar General|TPR Only|DISINFECTANT SPRAY | AEROSOL | LYSOL | LYSOL SB | 1 X 12.5 OUNCE|2020-04-05|2020-04-11|unknown|SURFACECARE</t>
  </si>
  <si>
    <t>Dollar General|TPR Only|DISINFECTANT SPRAY | AEROSOL | LYSOL | LYSOL SB | 1 X 12.5 OUNCE|2020-04-12|2020-04-18|unknown|SURFACECARE</t>
  </si>
  <si>
    <t>Dollar General|TPR Only|DISINFECTANT SPRAY | AEROSOL | LYSOL | LYSOL SB | 1 X 12.5 OUNCE|2020-04-19|2020-04-25|unknown|SURFACECARE</t>
  </si>
  <si>
    <t>Dollar General|TPR Only|DISINFECTANT SPRAY | AEROSOL | LYSOL | LYSOL SB | 1 X 12.5 OUNCE|2020-04-26|2020-05-02|unknown|SURFACECARE</t>
  </si>
  <si>
    <t>Dollar General|TPR Only|DISINFECTANT SPRAY | AEROSOL | LYSOL | LYSOL SB | 1 X 12.5 OUNCE|2020-05-10|2020-05-16|unknown|SURFACECARE</t>
  </si>
  <si>
    <t>Dollar General|TPR Only|DISINFECTANT SPRAY | AEROSOL | LYSOL | LYSOL SB | 1 X 12.5 OUNCE|2020-05-17|2020-05-23|unknown|SURFACECARE</t>
  </si>
  <si>
    <t>Dollar General|TPR Only|DISINFECTANT SPRAY | AEROSOL | LYSOL | LYSOL SB | 1 X 12.5 OUNCE|2020-05-24|2020-05-30|unknown|SURFACECARE</t>
  </si>
  <si>
    <t>Dollar General|TPR Only|DISINFECTANT SPRAY | AEROSOL | LYSOL | LYSOL SB | 1 X 12.5 OUNCE|2020-05-31|2020-06-06|unknown|SURFACECARE</t>
  </si>
  <si>
    <t>Dollar General|TPR Only|DISINFECTANT SPRAY | AEROSOL | LYSOL | LYSOL SB | 1 X 12.5 OUNCE|2020-06-07|2020-06-13|unknown|SURFACECARE</t>
  </si>
  <si>
    <t>Dollar General|TPR Only|DISINFECTANT SPRAY | AEROSOL | LYSOL | LYSOL SB | 1 X 19 OUNCE|2020-03-22|2020-03-28|unknown|SURFACECARE</t>
  </si>
  <si>
    <t>DISINFECTANT SPRAY | AEROSOL | LYSOL | LYSOL SB | 1 X 19 OUNCE</t>
  </si>
  <si>
    <t>DISINFECTANT SPRAY | AEROSOL | LYSOL | LYSOL SB | 1 X 19 OUNCEDollar General</t>
  </si>
  <si>
    <t>Dollar General|TPR Only|DISINFECTANT SPRAY | AEROSOL | LYSOL | LYSOL SB | 1 X 19 OUNCE|2020-04-05|2020-04-11|unknown|SURFACECARE</t>
  </si>
  <si>
    <t>Dollar General|TPR Only|DISINFECTANT SPRAY | AEROSOL | LYSOL | LYSOL SB | 1 X 19 OUNCE|2020-04-12|2020-04-18|unknown|SURFACECARE</t>
  </si>
  <si>
    <t>Dollar General|TPR Only|DISINFECTANT SPRAY | AEROSOL | LYSOL | LYSOL SB | 1 X 19 OUNCE|2020-04-19|2020-04-25|unknown|SURFACECARE</t>
  </si>
  <si>
    <t>Dollar General|TPR Only|DISINFECTANT SPRAY | AEROSOL | LYSOL | LYSOL SB | 1 X 19 OUNCE|2020-04-26|2020-05-02|unknown|SURFACECARE</t>
  </si>
  <si>
    <t>Dollar General|TPR Only|DISINFECTANT SPRAY | AEROSOL | LYSOL | LYSOL SB | 1 X 19 OUNCE|2020-05-03|2020-05-09|unknown|SURFACECARE</t>
  </si>
  <si>
    <t>Dollar General|TPR Only|DISINFECTANT SPRAY | AEROSOL | LYSOL | LYSOL SB | 1 X 19 OUNCE|2020-05-24|2020-05-30|unknown|SURFACECARE</t>
  </si>
  <si>
    <t>Dollar General|TPR Only|DISINFECTANT SPRAY | AEROSOL | LYSOL | LYSOL SB | 1 X 19 OUNCE|2020-05-31|2020-06-06|unknown|SURFACECARE</t>
  </si>
  <si>
    <t>Dollar General|TPR Only|DISINFECTANT SPRAY | AEROSOL | LYSOL | LYSOL SB | 1 X 19 OUNCE|2020-06-07|2020-06-13|unknown|SURFACECARE</t>
  </si>
  <si>
    <t>Kroger|TPR Only|APC LIQUID | POUR SQUEEZE | LYSOL | LYSOL CLEAN &amp; FRESH | 1 X 40 OUNCE|2020-06-07|2020-06-13|unknown|SURFACECARE</t>
  </si>
  <si>
    <t>Kroger</t>
  </si>
  <si>
    <t>APC LIQUID | POUR SQUEEZE | LYSOL | LYSOL CLEAN &amp; FRESH | 1 X 40 OUNCEKroger</t>
  </si>
  <si>
    <t>Kroger|TPR Only|APC LIQUID | POUR SQUEEZE | LYSOL | LYSOL CLEAN &amp; FRESH | 1 X 40 OUNCE|2020-06-21|2020-06-27|unknown|SURFACECARE</t>
  </si>
  <si>
    <t>Kroger|TPR Only|APC LIQUID | POUR SQUEEZE | LYSOL | LYSOL CLEAN &amp; FRESH | 1 X 40 OUNCE|2020-06-28|2020-07-04|unknown|SURFACECARE</t>
  </si>
  <si>
    <t>Kroger|TPR Only|APC LIQUID | POUR SQUEEZE | LYSOL | LYSOL CLEAN &amp; FRESH | 1 X 40 OUNCE|2020-07-05|2020-07-11|unknown|SURFACECARE</t>
  </si>
  <si>
    <t>Kroger|TPR Only|APC LIQUID | POUR SQUEEZE | LYSOL | LYSOL CLEAN &amp; FRESH | 1 X 40 OUNCE|2020-07-12|2020-07-18|unknown|SURFACECARE</t>
  </si>
  <si>
    <t>Kroger|TPR Only|APC LIQUID | POUR SQUEEZE | LYSOL | LYSOL CLEAN &amp; FRESH | 1 X 40 OUNCE|2020-07-19|2020-07-25|unknown|SURFACECARE</t>
  </si>
  <si>
    <t>Kroger|TPR Only|APC LIQUID | POUR SQUEEZE | LYSOL | LYSOL CLEAN &amp; FRESH | 1 X 40 OUNCE|2020-09-13|2020-09-19|unknown|SURFACECARE</t>
  </si>
  <si>
    <t>Kroger|TPR Only|APC LIQUID | POUR SQUEEZE | LYSOL | LYSOL CLEAN &amp; FRESH | 1 X 40 OUNCE|2021-01-10|2021-01-16|unknown|SURFACECARE</t>
  </si>
  <si>
    <t>Kroger|TPR Only|APC LIQUID | POUR SQUEEZE | LYSOL | LYSOL CLEAN &amp; FRESH | 1 X 40 OUNCE|2021-01-17|2021-01-23|unknown|SURFACECARE</t>
  </si>
  <si>
    <t>Kroger|TPR Only|APC LIQUID | POUR SQUEEZE | LYSOL | LYSOL CLEAN &amp; FRESH | 1 X 40 OUNCE|2021-01-24|2021-01-30|unknown|SURFACECARE</t>
  </si>
  <si>
    <t>Kroger|TPR Only|APC LIQUID | POUR SQUEEZE | LYSOL | LYSOL CLEAN &amp; FRESH | 1 X 40 OUNCE|2021-01-31|2021-02-06|unknown|SURFACECARE</t>
  </si>
  <si>
    <t>Kroger|TPR Only|APC LIQUID | POUR SQUEEZE | LYSOL | LYSOL CLEAN &amp; FRESH | 1 X 40 OUNCE|2021-02-07|2021-02-13|unknown|SURFACECARE</t>
  </si>
  <si>
    <t>Kroger|TPR Only|APC LIQUID | POUR SQUEEZE | LYSOL | LYSOL CLEAN &amp; FRESH | 1 X 40 OUNCE|2021-02-14|2021-02-20|unknown|SURFACECARE</t>
  </si>
  <si>
    <t>Kroger|TPR Only|APC LIQUID | POUR SQUEEZE | LYSOL | LYSOL CLEAN &amp; FRESH | 1 X 40 OUNCE|2021-02-21|2021-02-27|unknown|SURFACECARE</t>
  </si>
  <si>
    <t>Kroger|TPR Only|APC LIQUID | POUR SQUEEZE | LYSOL | LYSOL CLEAN &amp; FRESH | 1 X 40 OUNCE|2021-02-28|2021-03-06|unknown|SURFACECARE</t>
  </si>
  <si>
    <t>Kroger|TPR Only|APC LIQUID | POUR SQUEEZE | LYSOL | LYSOL CLEAN &amp; FRESH | 1 X 40 OUNCE|2021-03-07|2021-03-13|unknown|SURFACECARE</t>
  </si>
  <si>
    <t>Kroger|TPR Only|APC LIQUID | POUR SQUEEZE | LYSOL | LYSOL CLEAN &amp; FRESH | 1 X 40 OUNCE|2021-03-14|2021-03-20|unknown|SURFACECARE</t>
  </si>
  <si>
    <t>Kroger|TPR Only|APC LIQUID | POUR SQUEEZE | LYSOL | LYSOL CLEAN &amp; FRESH | 1 X 40 OUNCE|2021-03-21|2021-03-27|unknown|SURFACECARE</t>
  </si>
  <si>
    <t>Kroger|TPR Only|APC LIQUID | POUR SQUEEZE | LYSOL | LYSOL CLEAN &amp; FRESH | 1 X 40 OUNCE|2021-10-10|2021-10-16|unknown|SURFACECARE</t>
  </si>
  <si>
    <t>Kroger|TPR Only|APC LIQUID | POUR SQUEEZE | LYSOL | LYSOL CLEAN &amp; FRESH | 1 X 40 OUNCE|2021-10-17|2021-10-23|unknown|SURFACECARE</t>
  </si>
  <si>
    <t>Kroger|TPR Only|APC LIQUID | POUR SQUEEZE | LYSOL | LYSOL CLEAN &amp; FRESH | 1 X 40 OUNCE|2021-10-24|2021-10-30|unknown|SURFACECARE</t>
  </si>
  <si>
    <t>Kroger|TPR Only|APC LIQUID | POUR SQUEEZE | LYSOL | LYSOL CLEAN &amp; FRESH | 1 X 40 OUNCE|2021-10-31|2021-11-06|unknown|SURFACECARE</t>
  </si>
  <si>
    <t>Kroger|TPR Only|APC LIQUID | POUR SQUEEZE | LYSOL | LYSOL CLEAN &amp; FRESH | 1 X 40 OUNCE|2021-11-07|2021-11-13|unknown|SURFACECARE</t>
  </si>
  <si>
    <t>Kroger|TPR Only|APC LIQUID | POUR SQUEEZE | LYSOL | LYSOL CLEAN &amp; FRESH | 1 X 40 OUNCE|2021-11-14|2021-11-20|unknown|SURFACECARE</t>
  </si>
  <si>
    <t>Kroger|TPR Only|APC LIQUID | POUR SQUEEZE | LYSOL | LYSOL CLEAN &amp; FRESH | 1 X 40 OUNCE|2022-02-06|2022-02-12|unknown|SURFACECARE</t>
  </si>
  <si>
    <t>Kroger|TPR Only|APC LIQUID | POUR SQUEEZE | LYSOL | LYSOL CLEAN &amp; FRESH | 1 X 40 OUNCE|2022-02-13|2022-02-19|unknown|SURFACECARE</t>
  </si>
  <si>
    <t>Kroger|TPR Only|APC LIQUID | POUR SQUEEZE | LYSOL | LYSOL CLEAN &amp; FRESH | 1 X 40 OUNCE|2022-02-20|2022-02-26|unknown|SURFACECARE</t>
  </si>
  <si>
    <t>Kroger|TPR Only|APC LIQUID | POUR SQUEEZE | LYSOL | LYSOL CLEAN &amp; FRESH | 1 X 40 OUNCE|2022-02-27|2022-03-05|unknown|SURFACECARE</t>
  </si>
  <si>
    <t>Kroger|TPR Only|APC LIQUID | POUR SQUEEZE | LYSOL | LYSOL CLEAN &amp; FRESH | 1 X 40 OUNCE|2022-03-06|2022-03-12|unknown|SURFACECARE</t>
  </si>
  <si>
    <t>Kroger|TPR Only|APC LIQUID | POUR SQUEEZE | LYSOL | LYSOL CLEAN &amp; FRESH | 1 X 40 OUNCE|2022-03-13|2022-03-19|unknown|SURFACECARE</t>
  </si>
  <si>
    <t>Kroger|TPR Only|APC LIQUID | POUR SQUEEZE | LYSOL | LYSOL CLEAN &amp; FRESH | 1 X 40 OUNCE|2022-03-20|2022-03-26|unknown|SURFACECARE</t>
  </si>
  <si>
    <t>Kroger|TPR Only|APC LIQUID | TRIGGER REFILL | LYSOL | LYSOL SMART | 1 X 0.195 OUNCE|2022-03-13|2022-03-19|unknown|SURFACECARE</t>
  </si>
  <si>
    <t>APC LIQUID | TRIGGER REFILL | LYSOL | LYSOL SMART | 1 X 0.195 OUNCE</t>
  </si>
  <si>
    <t>APC LIQUID | TRIGGER REFILL | LYSOL | LYSOL SMART | 1 X 0.195 OUNCEKroger</t>
  </si>
  <si>
    <t>Kroger|TPR Only|APC LIQUID | TRIGGER REFILL | LYSOL | LYSOL SMART | 1 X 0.195 OUNCE|2022-03-20|2022-03-26|unknown|SURFACECARE</t>
  </si>
  <si>
    <t>Kroger|TPR Only|APC LIQUID | TRIGGER REFILL | LYSOL | LYSOL SMART | 1 X 0.195 OUNCE|2022-08-28|2022-09-03|unknown|SURFACECARE</t>
  </si>
  <si>
    <t>Kroger|TPR Only|APC LIQUID | TRIGGER REFILL | LYSOL | LYSOL SMART | 1 X 0.195 OUNCE|2022-09-04|2022-09-10|unknown|SURFACECARE</t>
  </si>
  <si>
    <t>Kroger|TPR Only|APC LIQUID | TRIGGER REFILL | LYSOL | LYSOL SMART | 1 X 0.195 OUNCE|2022-09-11|2022-09-17|unknown|SURFACECARE</t>
  </si>
  <si>
    <t>Kroger|TPR Only|APC LIQUID | TRIGGER REFILL | LYSOL | LYSOL SMART | 1 X 0.195 OUNCE|2022-09-18|2022-09-24|unknown|SURFACECARE</t>
  </si>
  <si>
    <t>Kroger|TPR Only|APC LIQUID | TRIGGER REFILL | LYSOL | LYSOL SMART | 1 X 0.195 OUNCE|2022-09-25|2022-10-01|unknown|SURFACECARE</t>
  </si>
  <si>
    <t>Kroger|TPR Only|APC LIQUID | TRIGGER REFILL | LYSOL | LYSOL SMART | 1 X 0.195 OUNCE|2022-10-02|2022-10-08|unknown|SURFACECARE</t>
  </si>
  <si>
    <t>Kroger|TPR Only|APC LIQUID | TRIGGER REFILL | LYSOL | LYSOL SMART | 1 X 0.195 OUNCE|2022-10-09|2022-10-15|unknown|SURFACECARE</t>
  </si>
  <si>
    <t>Kroger|TPR Only|APC LIQUID | TRIGGER REFILL | LYSOL | LYSOL SMART | 1 X 0.195 OUNCE|2022-10-16|2022-10-22|unknown|SURFACECARE</t>
  </si>
  <si>
    <t>Kroger|TPR Only|APC LIQUID | TRIGGER REFILL | LYSOL | LYSOL SMART | 1 X 0.195 OUNCE|2022-10-23|2022-10-29|unknown|SURFACECARE</t>
  </si>
  <si>
    <t>Kroger|TPR Only|APC LIQUID | TRIGGER REFILL | LYSOL | LYSOL SMART | 2 X 0.195 OUNCE|2021-10-17|2021-10-23|unknown|SURFACECARE</t>
  </si>
  <si>
    <t>APC LIQUID | TRIGGER REFILL | LYSOL | LYSOL SMART | 2 X 0.195 OUNCE</t>
  </si>
  <si>
    <t>APC LIQUID | TRIGGER REFILL | LYSOL | LYSOL SMART | 2 X 0.195 OUNCEKroger</t>
  </si>
  <si>
    <t>Kroger|TPR Only|APC LIQUID | TRIGGER REFILL | LYSOL | LYSOL SMART | 2 X 0.195 OUNCE|2021-10-24|2021-10-30|unknown|SURFACECARE</t>
  </si>
  <si>
    <t>Kroger|TPR Only|APC LIQUID | TRIGGER REFILL | LYSOL | LYSOL SMART | 2 X 0.195 OUNCE|2021-10-31|2021-11-06|unknown|SURFACECARE</t>
  </si>
  <si>
    <t>Kroger|TPR Only|APC LIQUID | TRIGGER REFILL | LYSOL | LYSOL SMART | 2 X 0.195 OUNCE|2021-11-07|2021-11-13|unknown|SURFACECARE</t>
  </si>
  <si>
    <t xml:space="preserve">promo_duration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</si>
</sst>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5" fontId="0" fillId="0" borderId="0" xfId="0" applyNumberFormat="1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0CA9-FF62-3B42-B66D-4E6F6513E52D}">
  <dimension ref="A1:AT103"/>
  <sheetViews>
    <sheetView tabSelected="1" topLeftCell="C1" workbookViewId="0">
      <selection activeCell="N104" sqref="N104"/>
    </sheetView>
  </sheetViews>
  <sheetFormatPr baseColWidth="10" defaultRowHeight="16" x14ac:dyDescent="0.2"/>
  <cols>
    <col min="24" max="24" width="13.83203125" customWidth="1"/>
    <col min="25" max="25" width="13.83203125" style="4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4" t="s">
        <v>196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">
      <c r="A2" t="s">
        <v>45</v>
      </c>
      <c r="B2">
        <v>0</v>
      </c>
      <c r="C2">
        <v>1</v>
      </c>
      <c r="D2">
        <v>0</v>
      </c>
      <c r="E2">
        <v>0</v>
      </c>
      <c r="F2">
        <v>1E-3</v>
      </c>
      <c r="G2">
        <v>1</v>
      </c>
      <c r="H2">
        <v>241.12017800000001</v>
      </c>
      <c r="I2">
        <v>0</v>
      </c>
      <c r="J2">
        <v>2303865424.9920001</v>
      </c>
      <c r="K2">
        <v>151005533.3224</v>
      </c>
      <c r="L2" s="1">
        <v>0.9345</v>
      </c>
      <c r="M2">
        <v>33.879821999999898</v>
      </c>
      <c r="N2">
        <v>7</v>
      </c>
      <c r="O2">
        <v>1200</v>
      </c>
      <c r="P2">
        <v>1.2</v>
      </c>
      <c r="Q2">
        <v>1.2</v>
      </c>
      <c r="R2">
        <v>0</v>
      </c>
      <c r="S2">
        <v>0</v>
      </c>
      <c r="T2">
        <v>2.4</v>
      </c>
      <c r="U2">
        <v>2</v>
      </c>
      <c r="V2">
        <v>2024</v>
      </c>
      <c r="W2" s="2">
        <v>45306</v>
      </c>
      <c r="X2" s="2">
        <v>45300</v>
      </c>
      <c r="Y2" s="4">
        <f>W2-X2</f>
        <v>6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>
        <v>1</v>
      </c>
      <c r="AG2">
        <v>7.2727272727272701E-3</v>
      </c>
      <c r="AH2">
        <v>1.2</v>
      </c>
      <c r="AI2">
        <v>1.2</v>
      </c>
      <c r="AJ2">
        <v>0</v>
      </c>
      <c r="AK2" s="1">
        <v>0</v>
      </c>
      <c r="AL2">
        <v>0</v>
      </c>
      <c r="AM2" s="1">
        <v>0.14050000000000001</v>
      </c>
      <c r="AN2">
        <v>234808346.30247399</v>
      </c>
      <c r="AO2">
        <v>1</v>
      </c>
      <c r="AP2">
        <v>241.12017800000001</v>
      </c>
      <c r="AQ2">
        <v>1E-3</v>
      </c>
      <c r="AR2" t="s">
        <v>52</v>
      </c>
      <c r="AS2" t="s">
        <v>53</v>
      </c>
    </row>
    <row r="3" spans="1:46" x14ac:dyDescent="0.2">
      <c r="A3" t="s">
        <v>54</v>
      </c>
      <c r="B3">
        <v>0</v>
      </c>
      <c r="C3">
        <v>1</v>
      </c>
      <c r="D3">
        <v>0</v>
      </c>
      <c r="E3">
        <v>0</v>
      </c>
      <c r="F3">
        <v>1E-3</v>
      </c>
      <c r="G3">
        <v>1</v>
      </c>
      <c r="H3">
        <v>21786554.337382998</v>
      </c>
      <c r="I3">
        <v>0</v>
      </c>
      <c r="J3">
        <v>1338042152.0696001</v>
      </c>
      <c r="K3">
        <v>126556868.54620001</v>
      </c>
      <c r="L3" s="1">
        <v>0.90539999999999998</v>
      </c>
      <c r="M3">
        <v>1522592.0041169999</v>
      </c>
      <c r="N3">
        <v>14</v>
      </c>
      <c r="O3">
        <v>5400</v>
      </c>
      <c r="P3">
        <v>0.86491436000231503</v>
      </c>
      <c r="Q3">
        <v>0.86491436000231503</v>
      </c>
      <c r="R3">
        <v>2285991.8698999998</v>
      </c>
      <c r="S3">
        <v>452.45400000000001</v>
      </c>
      <c r="T3">
        <v>5118.25</v>
      </c>
      <c r="U3">
        <v>5334</v>
      </c>
      <c r="V3">
        <v>2024</v>
      </c>
      <c r="W3" s="2">
        <v>45449</v>
      </c>
      <c r="X3" s="2">
        <v>45443</v>
      </c>
      <c r="Y3" s="4">
        <f t="shared" ref="Y3:Y66" si="0">W3-X3</f>
        <v>6</v>
      </c>
      <c r="Z3" t="s">
        <v>55</v>
      </c>
      <c r="AA3" t="s">
        <v>47</v>
      </c>
      <c r="AB3" t="s">
        <v>56</v>
      </c>
      <c r="AC3" t="s">
        <v>49</v>
      </c>
      <c r="AD3" t="s">
        <v>50</v>
      </c>
      <c r="AE3" t="s">
        <v>51</v>
      </c>
      <c r="AF3">
        <v>1</v>
      </c>
      <c r="AG3">
        <v>2.28837209301966E-4</v>
      </c>
      <c r="AH3">
        <v>0.98843983003428904</v>
      </c>
      <c r="AI3">
        <v>0.95955193100862402</v>
      </c>
      <c r="AJ3">
        <v>0.124970146162249</v>
      </c>
      <c r="AK3" s="1">
        <v>0.2339</v>
      </c>
      <c r="AL3">
        <v>9.8072740906430395E-2</v>
      </c>
      <c r="AM3" s="1">
        <v>6.9900000000000004E-2</v>
      </c>
      <c r="AN3">
        <v>477824390.2439</v>
      </c>
      <c r="AO3">
        <v>6</v>
      </c>
      <c r="AP3">
        <v>111045338.11233599</v>
      </c>
      <c r="AQ3">
        <v>1E-3</v>
      </c>
      <c r="AR3" t="s">
        <v>52</v>
      </c>
      <c r="AS3" t="s">
        <v>57</v>
      </c>
    </row>
    <row r="4" spans="1:46" x14ac:dyDescent="0.2">
      <c r="A4" t="s">
        <v>58</v>
      </c>
      <c r="B4">
        <v>0</v>
      </c>
      <c r="C4">
        <v>1</v>
      </c>
      <c r="D4">
        <v>0</v>
      </c>
      <c r="E4">
        <v>0</v>
      </c>
      <c r="F4">
        <v>1E-3</v>
      </c>
      <c r="G4">
        <v>3</v>
      </c>
      <c r="H4">
        <v>8916745.2380950004</v>
      </c>
      <c r="I4">
        <v>1</v>
      </c>
      <c r="J4">
        <v>1911367397.3499999</v>
      </c>
      <c r="K4">
        <v>107913720.5711</v>
      </c>
      <c r="L4" s="1">
        <v>0.94350000000000001</v>
      </c>
      <c r="M4">
        <v>2156425.4936049902</v>
      </c>
      <c r="N4">
        <v>14</v>
      </c>
      <c r="O4">
        <v>8900</v>
      </c>
      <c r="P4">
        <v>2.2423054331864898</v>
      </c>
      <c r="Q4">
        <v>2.2423054331864898</v>
      </c>
      <c r="R4">
        <v>607040.65040000004</v>
      </c>
      <c r="S4">
        <v>92.710999999999999</v>
      </c>
      <c r="T4">
        <v>1527.01</v>
      </c>
      <c r="U4">
        <v>681</v>
      </c>
      <c r="V4">
        <v>2024</v>
      </c>
      <c r="W4" s="2">
        <v>45320</v>
      </c>
      <c r="X4" s="2">
        <v>45314</v>
      </c>
      <c r="Y4" s="4">
        <f t="shared" si="0"/>
        <v>6</v>
      </c>
      <c r="Z4" t="s">
        <v>58</v>
      </c>
      <c r="AA4" t="s">
        <v>47</v>
      </c>
      <c r="AB4" t="s">
        <v>59</v>
      </c>
      <c r="AC4" t="s">
        <v>49</v>
      </c>
      <c r="AD4" t="s">
        <v>50</v>
      </c>
      <c r="AE4" t="s">
        <v>51</v>
      </c>
      <c r="AF4">
        <v>1</v>
      </c>
      <c r="AG4" s="3">
        <v>6.1500000000040594E-5</v>
      </c>
      <c r="AH4">
        <v>2.7136124794974799</v>
      </c>
      <c r="AI4">
        <v>2.2423054331864898</v>
      </c>
      <c r="AJ4">
        <v>0.17368251726137099</v>
      </c>
      <c r="AK4" s="1">
        <v>1</v>
      </c>
      <c r="AL4">
        <v>5.4820851688141901E-2</v>
      </c>
      <c r="AM4" s="1">
        <v>0.24179999999999999</v>
      </c>
      <c r="AN4">
        <v>936195121.95120001</v>
      </c>
      <c r="AO4">
        <v>1</v>
      </c>
      <c r="AP4">
        <v>7100770.5122448001</v>
      </c>
      <c r="AQ4">
        <v>1E-3</v>
      </c>
      <c r="AR4" t="s">
        <v>52</v>
      </c>
      <c r="AS4" t="s">
        <v>60</v>
      </c>
    </row>
    <row r="5" spans="1:46" x14ac:dyDescent="0.2">
      <c r="A5" t="s">
        <v>61</v>
      </c>
      <c r="B5">
        <v>0</v>
      </c>
      <c r="C5">
        <v>1</v>
      </c>
      <c r="D5">
        <v>0</v>
      </c>
      <c r="E5">
        <v>0</v>
      </c>
      <c r="F5">
        <v>1E-3</v>
      </c>
      <c r="G5">
        <v>4</v>
      </c>
      <c r="H5">
        <v>812774849.52380896</v>
      </c>
      <c r="I5">
        <v>1</v>
      </c>
      <c r="J5">
        <v>2144994486.7465999</v>
      </c>
      <c r="K5">
        <v>53951995.646700002</v>
      </c>
      <c r="L5" s="1">
        <v>0.9748</v>
      </c>
      <c r="M5">
        <v>119049540.719991</v>
      </c>
      <c r="N5">
        <v>14</v>
      </c>
      <c r="O5">
        <v>700</v>
      </c>
      <c r="P5">
        <v>2.4604786833068002</v>
      </c>
      <c r="Q5">
        <v>2.4604786833068002</v>
      </c>
      <c r="R5">
        <v>25732351.219500002</v>
      </c>
      <c r="S5">
        <v>3539.741</v>
      </c>
      <c r="T5">
        <v>117502.62</v>
      </c>
      <c r="U5">
        <v>47756</v>
      </c>
      <c r="V5">
        <v>2025</v>
      </c>
      <c r="W5" s="2">
        <v>45687</v>
      </c>
      <c r="X5" s="2">
        <v>45583</v>
      </c>
      <c r="Y5" s="4">
        <f t="shared" si="0"/>
        <v>104</v>
      </c>
      <c r="Z5" t="s">
        <v>61</v>
      </c>
      <c r="AA5" t="s">
        <v>47</v>
      </c>
      <c r="AB5" t="s">
        <v>62</v>
      </c>
      <c r="AC5" t="s">
        <v>49</v>
      </c>
      <c r="AD5" t="s">
        <v>50</v>
      </c>
      <c r="AE5" t="s">
        <v>51</v>
      </c>
      <c r="AF5">
        <v>1</v>
      </c>
      <c r="AG5" s="3">
        <v>5.1250000000005603E-5</v>
      </c>
      <c r="AH5">
        <v>2.9901247524750301</v>
      </c>
      <c r="AI5">
        <v>2.46047868330681</v>
      </c>
      <c r="AJ5">
        <v>0.17713176305764899</v>
      </c>
      <c r="AK5" s="1">
        <v>1</v>
      </c>
      <c r="AL5">
        <v>2.76150221961537E-2</v>
      </c>
      <c r="AM5" s="1">
        <v>0.14649999999999999</v>
      </c>
      <c r="AN5">
        <v>107342455.78101499</v>
      </c>
      <c r="AO5">
        <v>10</v>
      </c>
      <c r="AP5">
        <v>1101681303.19572</v>
      </c>
      <c r="AQ5">
        <v>1E-3</v>
      </c>
      <c r="AR5" t="s">
        <v>52</v>
      </c>
      <c r="AS5" t="s">
        <v>63</v>
      </c>
    </row>
    <row r="6" spans="1:46" x14ac:dyDescent="0.2">
      <c r="A6" t="s">
        <v>64</v>
      </c>
      <c r="B6">
        <v>0</v>
      </c>
      <c r="C6">
        <v>1</v>
      </c>
      <c r="D6">
        <v>0</v>
      </c>
      <c r="E6">
        <v>0</v>
      </c>
      <c r="F6">
        <v>1E-3</v>
      </c>
      <c r="G6">
        <v>4</v>
      </c>
      <c r="H6">
        <v>863828352</v>
      </c>
      <c r="I6">
        <v>1</v>
      </c>
      <c r="J6">
        <v>3951336654.0138998</v>
      </c>
      <c r="K6">
        <v>63233298.064300001</v>
      </c>
      <c r="L6" s="1">
        <v>0.98399999999999999</v>
      </c>
      <c r="M6">
        <v>250727745.5609</v>
      </c>
      <c r="N6">
        <v>14</v>
      </c>
      <c r="O6">
        <v>890</v>
      </c>
      <c r="P6">
        <v>2.52179513663976</v>
      </c>
      <c r="Q6">
        <v>2.52179513663976</v>
      </c>
      <c r="R6">
        <v>21945073.1708</v>
      </c>
      <c r="S6">
        <v>3043.6489999999999</v>
      </c>
      <c r="T6">
        <v>144047.46</v>
      </c>
      <c r="U6">
        <v>57121</v>
      </c>
      <c r="V6">
        <v>2024</v>
      </c>
      <c r="W6" s="2">
        <v>45688</v>
      </c>
      <c r="X6" s="2">
        <v>45590</v>
      </c>
      <c r="Y6" s="4">
        <f t="shared" si="0"/>
        <v>98</v>
      </c>
      <c r="Z6" t="s">
        <v>64</v>
      </c>
      <c r="AA6" t="s">
        <v>47</v>
      </c>
      <c r="AB6" t="s">
        <v>62</v>
      </c>
      <c r="AC6" t="s">
        <v>49</v>
      </c>
      <c r="AD6" t="s">
        <v>50</v>
      </c>
      <c r="AE6" t="s">
        <v>51</v>
      </c>
      <c r="AF6">
        <v>1</v>
      </c>
      <c r="AG6" s="3">
        <v>5.1250000000003401E-5</v>
      </c>
      <c r="AH6">
        <v>2.9862663729219601</v>
      </c>
      <c r="AI6">
        <v>2.52179513663976</v>
      </c>
      <c r="AJ6">
        <v>0.155535768842927</v>
      </c>
      <c r="AK6" s="1">
        <v>1</v>
      </c>
      <c r="AL6">
        <v>1.9689518740980998E-2</v>
      </c>
      <c r="AM6" s="1">
        <v>0.2903</v>
      </c>
      <c r="AN6">
        <v>182033333.33320001</v>
      </c>
      <c r="AO6">
        <v>10</v>
      </c>
      <c r="AP6">
        <v>1101681303.19572</v>
      </c>
      <c r="AQ6">
        <v>1E-3</v>
      </c>
      <c r="AR6" t="s">
        <v>52</v>
      </c>
      <c r="AS6" t="s">
        <v>63</v>
      </c>
    </row>
    <row r="7" spans="1:46" x14ac:dyDescent="0.2">
      <c r="A7" t="s">
        <v>65</v>
      </c>
      <c r="B7">
        <v>0</v>
      </c>
      <c r="C7">
        <v>1</v>
      </c>
      <c r="D7">
        <v>0</v>
      </c>
      <c r="E7">
        <v>0</v>
      </c>
      <c r="F7">
        <v>1E-3</v>
      </c>
      <c r="G7">
        <v>4</v>
      </c>
      <c r="H7">
        <v>863828352</v>
      </c>
      <c r="I7">
        <v>1</v>
      </c>
      <c r="J7">
        <v>5159062745.4507999</v>
      </c>
      <c r="K7">
        <v>80751064.3336</v>
      </c>
      <c r="L7" s="1">
        <v>0.98429999999999995</v>
      </c>
      <c r="M7">
        <v>42220428.487800002</v>
      </c>
      <c r="N7">
        <v>14</v>
      </c>
      <c r="O7">
        <v>6000</v>
      </c>
      <c r="P7">
        <v>2.4685801890827301</v>
      </c>
      <c r="Q7">
        <v>2.4685801890827301</v>
      </c>
      <c r="R7">
        <v>13745560.9756</v>
      </c>
      <c r="S7">
        <v>1739.0160000000001</v>
      </c>
      <c r="T7">
        <v>117209.7</v>
      </c>
      <c r="U7">
        <v>46435</v>
      </c>
      <c r="V7">
        <v>2024</v>
      </c>
      <c r="W7" s="2">
        <v>45689</v>
      </c>
      <c r="X7" s="2">
        <v>45597</v>
      </c>
      <c r="Y7" s="4">
        <f t="shared" si="0"/>
        <v>92</v>
      </c>
      <c r="Z7" t="s">
        <v>65</v>
      </c>
      <c r="AA7" t="s">
        <v>47</v>
      </c>
      <c r="AB7" t="s">
        <v>62</v>
      </c>
      <c r="AC7" t="s">
        <v>49</v>
      </c>
      <c r="AD7" t="s">
        <v>50</v>
      </c>
      <c r="AE7" t="s">
        <v>51</v>
      </c>
      <c r="AF7">
        <v>1</v>
      </c>
      <c r="AG7" s="3">
        <v>5.1250000000000202E-5</v>
      </c>
      <c r="AH7">
        <v>2.9862663729221399</v>
      </c>
      <c r="AI7">
        <v>2.5241671153224901</v>
      </c>
      <c r="AJ7">
        <v>0.173355661950826</v>
      </c>
      <c r="AK7" s="1">
        <v>0.89259999999999995</v>
      </c>
      <c r="AL7">
        <v>1.51708840314311E-2</v>
      </c>
      <c r="AM7" s="1">
        <v>4.8899999999999999E-2</v>
      </c>
      <c r="AN7">
        <v>129738516.26009899</v>
      </c>
      <c r="AO7">
        <v>11</v>
      </c>
      <c r="AP7">
        <v>1101681303.19572</v>
      </c>
      <c r="AQ7">
        <v>1E-3</v>
      </c>
      <c r="AR7" t="s">
        <v>52</v>
      </c>
      <c r="AS7" t="s">
        <v>63</v>
      </c>
    </row>
    <row r="8" spans="1:46" x14ac:dyDescent="0.2">
      <c r="A8" t="s">
        <v>66</v>
      </c>
      <c r="B8">
        <v>0</v>
      </c>
      <c r="C8">
        <v>1</v>
      </c>
      <c r="D8">
        <v>0</v>
      </c>
      <c r="E8">
        <v>0</v>
      </c>
      <c r="F8">
        <v>1E-3</v>
      </c>
      <c r="G8">
        <v>3</v>
      </c>
      <c r="H8">
        <v>863828352</v>
      </c>
      <c r="I8">
        <v>1</v>
      </c>
      <c r="J8">
        <v>3129262328.1675</v>
      </c>
      <c r="K8">
        <v>97351946.709000006</v>
      </c>
      <c r="L8" s="1">
        <v>0.96889999999999998</v>
      </c>
      <c r="M8">
        <v>98064330.926799998</v>
      </c>
      <c r="N8">
        <v>14</v>
      </c>
      <c r="O8">
        <v>2300</v>
      </c>
      <c r="P8">
        <v>2.4265835348255398</v>
      </c>
      <c r="Q8">
        <v>2.4265835348255398</v>
      </c>
      <c r="R8">
        <v>13525775.6097</v>
      </c>
      <c r="S8">
        <v>1682.098</v>
      </c>
      <c r="T8">
        <v>131569.139999999</v>
      </c>
      <c r="U8">
        <v>49297</v>
      </c>
      <c r="V8">
        <v>2024</v>
      </c>
      <c r="W8" s="2">
        <v>45690</v>
      </c>
      <c r="X8" s="2">
        <v>45604</v>
      </c>
      <c r="Y8" s="4">
        <f t="shared" si="0"/>
        <v>86</v>
      </c>
      <c r="Z8" t="s">
        <v>66</v>
      </c>
      <c r="AA8" t="s">
        <v>47</v>
      </c>
      <c r="AB8" t="s">
        <v>62</v>
      </c>
      <c r="AC8" t="s">
        <v>49</v>
      </c>
      <c r="AD8" t="s">
        <v>50</v>
      </c>
      <c r="AE8" t="s">
        <v>51</v>
      </c>
      <c r="AF8">
        <v>1</v>
      </c>
      <c r="AG8" s="3">
        <v>5.1250000000001503E-5</v>
      </c>
      <c r="AH8">
        <v>2.9862663729220702</v>
      </c>
      <c r="AI8">
        <v>2.6689076414386199</v>
      </c>
      <c r="AJ8">
        <v>0.18741892658051201</v>
      </c>
      <c r="AK8" s="1">
        <v>0.56699999999999995</v>
      </c>
      <c r="AL8">
        <v>1.40616264680841E-2</v>
      </c>
      <c r="AM8" s="1">
        <v>0.1135</v>
      </c>
      <c r="AN8">
        <v>1747570731.7074001</v>
      </c>
      <c r="AO8">
        <v>11</v>
      </c>
      <c r="AP8">
        <v>1101681303.19572</v>
      </c>
      <c r="AQ8">
        <v>1E-3</v>
      </c>
      <c r="AR8" t="s">
        <v>52</v>
      </c>
      <c r="AS8" t="s">
        <v>63</v>
      </c>
    </row>
    <row r="9" spans="1:46" x14ac:dyDescent="0.2">
      <c r="A9" t="s">
        <v>67</v>
      </c>
      <c r="B9">
        <v>0</v>
      </c>
      <c r="C9">
        <v>1</v>
      </c>
      <c r="D9">
        <v>0</v>
      </c>
      <c r="E9">
        <v>0</v>
      </c>
      <c r="F9">
        <v>1E-3</v>
      </c>
      <c r="G9">
        <v>4</v>
      </c>
      <c r="H9">
        <v>865496558.73015904</v>
      </c>
      <c r="I9">
        <v>1</v>
      </c>
      <c r="J9">
        <v>3335704819.5872998</v>
      </c>
      <c r="K9">
        <v>291754690.19770002</v>
      </c>
      <c r="L9" s="1">
        <v>0.91249999999999998</v>
      </c>
      <c r="M9">
        <v>197196124.19674</v>
      </c>
      <c r="N9">
        <v>14</v>
      </c>
      <c r="O9">
        <v>4500</v>
      </c>
      <c r="P9">
        <v>1.93188664826685</v>
      </c>
      <c r="Q9">
        <v>1.93188664826685</v>
      </c>
      <c r="R9">
        <v>238276839.0244</v>
      </c>
      <c r="S9">
        <v>23591.597000000002</v>
      </c>
      <c r="T9">
        <v>145425.26</v>
      </c>
      <c r="U9">
        <v>54463</v>
      </c>
      <c r="V9">
        <v>2024</v>
      </c>
      <c r="W9" s="2">
        <v>45691</v>
      </c>
      <c r="X9" s="2">
        <v>45611</v>
      </c>
      <c r="Y9" s="4">
        <f t="shared" si="0"/>
        <v>80</v>
      </c>
      <c r="Z9" t="s">
        <v>67</v>
      </c>
      <c r="AA9" t="s">
        <v>47</v>
      </c>
      <c r="AB9" t="s">
        <v>62</v>
      </c>
      <c r="AC9" t="s">
        <v>49</v>
      </c>
      <c r="AD9" t="s">
        <v>50</v>
      </c>
      <c r="AE9" t="s">
        <v>51</v>
      </c>
      <c r="AF9">
        <v>1</v>
      </c>
      <c r="AG9" s="3">
        <v>5.1249999999996502E-5</v>
      </c>
      <c r="AH9">
        <v>2.9780050842235699</v>
      </c>
      <c r="AI9">
        <v>2.6701661678570701</v>
      </c>
      <c r="AJ9">
        <v>0.35128161516536099</v>
      </c>
      <c r="AK9" s="1">
        <v>0.29430000000000001</v>
      </c>
      <c r="AL9">
        <v>0.224219892404011</v>
      </c>
      <c r="AM9" s="1">
        <v>0.2278</v>
      </c>
      <c r="AN9">
        <v>22671138.211300001</v>
      </c>
      <c r="AO9">
        <v>11</v>
      </c>
      <c r="AP9">
        <v>1101681303.19572</v>
      </c>
      <c r="AQ9">
        <v>1E-3</v>
      </c>
      <c r="AR9" t="s">
        <v>52</v>
      </c>
      <c r="AS9" t="s">
        <v>63</v>
      </c>
    </row>
    <row r="10" spans="1:46" x14ac:dyDescent="0.2">
      <c r="A10" t="s">
        <v>68</v>
      </c>
      <c r="B10">
        <v>0</v>
      </c>
      <c r="C10">
        <v>1</v>
      </c>
      <c r="D10">
        <v>0</v>
      </c>
      <c r="E10">
        <v>0</v>
      </c>
      <c r="F10">
        <v>1E-3</v>
      </c>
      <c r="G10">
        <v>1</v>
      </c>
      <c r="H10">
        <v>1861161.162698</v>
      </c>
      <c r="I10">
        <v>1</v>
      </c>
      <c r="J10">
        <v>7488246557.2187996</v>
      </c>
      <c r="K10">
        <v>790490214.18719995</v>
      </c>
      <c r="L10" s="1">
        <v>0.89439999999999997</v>
      </c>
      <c r="M10">
        <v>1789463.837302</v>
      </c>
      <c r="N10">
        <v>7</v>
      </c>
      <c r="O10">
        <v>1200</v>
      </c>
      <c r="P10">
        <v>1.92268847366569</v>
      </c>
      <c r="Q10">
        <v>1.92268847366569</v>
      </c>
      <c r="R10">
        <v>1337113.5249999999</v>
      </c>
      <c r="S10">
        <v>18697.111000000001</v>
      </c>
      <c r="T10">
        <v>52680.25</v>
      </c>
      <c r="U10">
        <v>26550</v>
      </c>
      <c r="V10">
        <v>2024</v>
      </c>
      <c r="W10" s="2">
        <v>45692</v>
      </c>
      <c r="X10" s="2">
        <v>45352</v>
      </c>
      <c r="Y10" s="4">
        <f t="shared" si="0"/>
        <v>340</v>
      </c>
      <c r="Z10" t="s">
        <v>68</v>
      </c>
      <c r="AA10" t="s">
        <v>47</v>
      </c>
      <c r="AB10" t="s">
        <v>48</v>
      </c>
      <c r="AC10" t="s">
        <v>49</v>
      </c>
      <c r="AD10" t="s">
        <v>50</v>
      </c>
      <c r="AE10" t="s">
        <v>51</v>
      </c>
      <c r="AF10">
        <v>1</v>
      </c>
      <c r="AG10">
        <v>7.2727272727272701E-3</v>
      </c>
      <c r="AH10">
        <v>2.0135342483490799</v>
      </c>
      <c r="AI10">
        <v>1.9841902071563</v>
      </c>
      <c r="AJ10">
        <v>4.5117571135371598E-2</v>
      </c>
      <c r="AK10" s="1">
        <v>0.32300000000000001</v>
      </c>
      <c r="AL10">
        <v>0.36626975517890697</v>
      </c>
      <c r="AM10" s="1">
        <v>0.96150000000000002</v>
      </c>
      <c r="AN10">
        <v>1406350</v>
      </c>
      <c r="AO10">
        <v>3</v>
      </c>
      <c r="AP10">
        <v>1898285.0234753501</v>
      </c>
      <c r="AQ10">
        <v>1E-3</v>
      </c>
      <c r="AR10" t="s">
        <v>52</v>
      </c>
      <c r="AS10" t="s">
        <v>53</v>
      </c>
    </row>
    <row r="11" spans="1:46" x14ac:dyDescent="0.2">
      <c r="A11" t="s">
        <v>69</v>
      </c>
      <c r="B11">
        <v>0</v>
      </c>
      <c r="C11">
        <v>1</v>
      </c>
      <c r="D11">
        <v>0</v>
      </c>
      <c r="E11">
        <v>0</v>
      </c>
      <c r="F11">
        <v>1E-3</v>
      </c>
      <c r="G11">
        <v>1</v>
      </c>
      <c r="H11">
        <v>1602460</v>
      </c>
      <c r="I11">
        <v>1</v>
      </c>
      <c r="J11">
        <v>4672991312.8881998</v>
      </c>
      <c r="K11">
        <v>982772047.95860004</v>
      </c>
      <c r="L11" s="1">
        <v>0.78969999999999996</v>
      </c>
      <c r="M11">
        <v>773965</v>
      </c>
      <c r="N11">
        <v>7</v>
      </c>
      <c r="O11">
        <v>1200</v>
      </c>
      <c r="P11">
        <v>4.3263448564281699</v>
      </c>
      <c r="Q11">
        <v>4.3263448564281699</v>
      </c>
      <c r="R11">
        <v>1234838.69</v>
      </c>
      <c r="S11">
        <v>56235.137000000002</v>
      </c>
      <c r="T11">
        <v>112472.98</v>
      </c>
      <c r="U11">
        <v>25015</v>
      </c>
      <c r="V11">
        <v>2024</v>
      </c>
      <c r="W11" s="2">
        <v>45693</v>
      </c>
      <c r="X11" s="2">
        <v>45366</v>
      </c>
      <c r="Y11" s="4">
        <f t="shared" si="0"/>
        <v>327</v>
      </c>
      <c r="Z11" t="s">
        <v>69</v>
      </c>
      <c r="AA11" t="s">
        <v>47</v>
      </c>
      <c r="AB11" t="s">
        <v>70</v>
      </c>
      <c r="AC11" t="s">
        <v>49</v>
      </c>
      <c r="AD11" t="s">
        <v>50</v>
      </c>
      <c r="AE11" t="s">
        <v>71</v>
      </c>
      <c r="AF11">
        <v>1</v>
      </c>
      <c r="AG11">
        <v>1.0526315789473601E-2</v>
      </c>
      <c r="AH11">
        <v>4.5966156348674696</v>
      </c>
      <c r="AI11">
        <v>4.49622146711972</v>
      </c>
      <c r="AJ11">
        <v>5.8797776431245702E-2</v>
      </c>
      <c r="AK11" s="1">
        <v>0.3715</v>
      </c>
      <c r="AL11">
        <v>0.51962030781530999</v>
      </c>
      <c r="AM11" s="1">
        <v>0.48299999999999998</v>
      </c>
      <c r="AN11">
        <v>10329550</v>
      </c>
      <c r="AO11">
        <v>3</v>
      </c>
      <c r="AP11">
        <v>1380243.396164</v>
      </c>
      <c r="AQ11">
        <v>1E-3</v>
      </c>
      <c r="AR11" t="s">
        <v>52</v>
      </c>
      <c r="AS11" t="s">
        <v>72</v>
      </c>
    </row>
    <row r="12" spans="1:46" x14ac:dyDescent="0.2">
      <c r="A12" t="s">
        <v>73</v>
      </c>
      <c r="B12">
        <v>0</v>
      </c>
      <c r="C12">
        <v>1</v>
      </c>
      <c r="D12">
        <v>0</v>
      </c>
      <c r="E12">
        <v>0</v>
      </c>
      <c r="F12">
        <v>1E-3</v>
      </c>
      <c r="G12">
        <v>1</v>
      </c>
      <c r="H12">
        <v>1356470.3452379999</v>
      </c>
      <c r="I12">
        <v>1</v>
      </c>
      <c r="J12">
        <v>2067516834.5084</v>
      </c>
      <c r="K12">
        <v>134502539.78299999</v>
      </c>
      <c r="L12" s="1">
        <v>0.93489999999999995</v>
      </c>
      <c r="M12">
        <v>1208909.6547620001</v>
      </c>
      <c r="N12">
        <v>7</v>
      </c>
      <c r="O12">
        <v>1200</v>
      </c>
      <c r="P12">
        <v>4.2774721686444801</v>
      </c>
      <c r="Q12">
        <v>4.2774721686444801</v>
      </c>
      <c r="R12">
        <v>1287386.99</v>
      </c>
      <c r="S12">
        <v>57965.915999999997</v>
      </c>
      <c r="T12">
        <v>121159.65</v>
      </c>
      <c r="U12">
        <v>27004</v>
      </c>
      <c r="V12">
        <v>2024</v>
      </c>
      <c r="W12" s="2">
        <v>45694</v>
      </c>
      <c r="X12" s="2">
        <v>45373</v>
      </c>
      <c r="Y12" s="4">
        <f t="shared" si="0"/>
        <v>321</v>
      </c>
      <c r="Z12" t="s">
        <v>73</v>
      </c>
      <c r="AA12" t="s">
        <v>47</v>
      </c>
      <c r="AB12" t="s">
        <v>70</v>
      </c>
      <c r="AC12" t="s">
        <v>49</v>
      </c>
      <c r="AD12" t="s">
        <v>50</v>
      </c>
      <c r="AE12" t="s">
        <v>71</v>
      </c>
      <c r="AF12">
        <v>1</v>
      </c>
      <c r="AG12">
        <v>1.0526315789473601E-2</v>
      </c>
      <c r="AH12">
        <v>4.59633036836507</v>
      </c>
      <c r="AI12">
        <v>4.4867297437416598</v>
      </c>
      <c r="AJ12">
        <v>6.9372341447685795E-2</v>
      </c>
      <c r="AK12" s="1">
        <v>0.34370000000000001</v>
      </c>
      <c r="AL12">
        <v>0.50183091393867496</v>
      </c>
      <c r="AM12" s="1">
        <v>0.89119999999999999</v>
      </c>
      <c r="AN12">
        <v>72011890.243900001</v>
      </c>
      <c r="AO12">
        <v>3</v>
      </c>
      <c r="AP12">
        <v>1380243.396164</v>
      </c>
      <c r="AQ12">
        <v>1E-3</v>
      </c>
      <c r="AR12" t="s">
        <v>52</v>
      </c>
      <c r="AS12" t="s">
        <v>72</v>
      </c>
    </row>
    <row r="13" spans="1:46" x14ac:dyDescent="0.2">
      <c r="A13" t="s">
        <v>74</v>
      </c>
      <c r="B13">
        <v>0</v>
      </c>
      <c r="C13">
        <v>1</v>
      </c>
      <c r="D13">
        <v>0</v>
      </c>
      <c r="E13">
        <v>0</v>
      </c>
      <c r="F13">
        <v>1E-3</v>
      </c>
      <c r="G13">
        <v>1</v>
      </c>
      <c r="H13">
        <v>913155.83333299996</v>
      </c>
      <c r="I13">
        <v>1</v>
      </c>
      <c r="J13">
        <v>2457135930.6564999</v>
      </c>
      <c r="K13">
        <v>515473227.19389999</v>
      </c>
      <c r="L13" s="1">
        <v>0.79020000000000001</v>
      </c>
      <c r="M13">
        <v>267694.16666699998</v>
      </c>
      <c r="N13">
        <v>7</v>
      </c>
      <c r="O13">
        <v>7800</v>
      </c>
      <c r="P13">
        <v>4.1614487316754998</v>
      </c>
      <c r="Q13">
        <v>4.1614487316754998</v>
      </c>
      <c r="R13">
        <v>507434.61499999999</v>
      </c>
      <c r="S13">
        <v>22228.032999999999</v>
      </c>
      <c r="T13">
        <v>55710.68</v>
      </c>
      <c r="U13">
        <v>12430</v>
      </c>
      <c r="V13">
        <v>2024</v>
      </c>
      <c r="W13" s="2">
        <v>45695</v>
      </c>
      <c r="X13" s="2">
        <v>45380</v>
      </c>
      <c r="Y13" s="4">
        <f t="shared" si="0"/>
        <v>315</v>
      </c>
      <c r="Z13" t="s">
        <v>74</v>
      </c>
      <c r="AA13" t="s">
        <v>47</v>
      </c>
      <c r="AB13" t="s">
        <v>70</v>
      </c>
      <c r="AC13" t="s">
        <v>49</v>
      </c>
      <c r="AD13" t="s">
        <v>50</v>
      </c>
      <c r="AE13" t="s">
        <v>71</v>
      </c>
      <c r="AF13">
        <v>1</v>
      </c>
      <c r="AG13">
        <v>1.0526315789473601E-2</v>
      </c>
      <c r="AH13">
        <v>4.59633036836507</v>
      </c>
      <c r="AI13">
        <v>4.4819533386966999</v>
      </c>
      <c r="AJ13">
        <v>9.4614964947408106E-2</v>
      </c>
      <c r="AK13" s="1">
        <v>0.26300000000000001</v>
      </c>
      <c r="AL13">
        <v>0.42971979082863998</v>
      </c>
      <c r="AM13" s="1">
        <v>0.29320000000000002</v>
      </c>
      <c r="AN13">
        <v>815360</v>
      </c>
      <c r="AO13">
        <v>4</v>
      </c>
      <c r="AP13">
        <v>1380243.396164</v>
      </c>
      <c r="AQ13">
        <v>1E-3</v>
      </c>
      <c r="AR13" t="s">
        <v>52</v>
      </c>
      <c r="AS13" t="s">
        <v>72</v>
      </c>
    </row>
    <row r="14" spans="1:46" x14ac:dyDescent="0.2">
      <c r="A14" t="s">
        <v>75</v>
      </c>
      <c r="B14">
        <v>0</v>
      </c>
      <c r="C14">
        <v>1</v>
      </c>
      <c r="D14">
        <v>0</v>
      </c>
      <c r="E14">
        <v>0</v>
      </c>
      <c r="F14">
        <v>1E-3</v>
      </c>
      <c r="G14">
        <v>1</v>
      </c>
      <c r="H14">
        <v>173470</v>
      </c>
      <c r="I14">
        <v>1</v>
      </c>
      <c r="J14">
        <v>2167458552.2410998</v>
      </c>
      <c r="K14">
        <v>166957965.9601</v>
      </c>
      <c r="L14" s="1">
        <v>0.92300000000000004</v>
      </c>
      <c r="M14">
        <v>44840</v>
      </c>
      <c r="N14">
        <v>7</v>
      </c>
      <c r="O14">
        <v>890</v>
      </c>
      <c r="P14">
        <v>7.0069742647275399</v>
      </c>
      <c r="Q14">
        <v>7.0069742647275399</v>
      </c>
      <c r="R14">
        <v>32255.73</v>
      </c>
      <c r="S14">
        <v>1189.5530000000001</v>
      </c>
      <c r="T14">
        <v>9120.85</v>
      </c>
      <c r="U14">
        <v>1149</v>
      </c>
      <c r="V14">
        <v>2024</v>
      </c>
      <c r="W14" s="2">
        <v>45696</v>
      </c>
      <c r="X14" s="2">
        <v>45571</v>
      </c>
      <c r="Y14" s="4">
        <f t="shared" si="0"/>
        <v>125</v>
      </c>
      <c r="Z14" t="s">
        <v>75</v>
      </c>
      <c r="AA14" t="s">
        <v>47</v>
      </c>
      <c r="AB14" t="s">
        <v>76</v>
      </c>
      <c r="AC14" t="s">
        <v>49</v>
      </c>
      <c r="AD14" t="s">
        <v>50</v>
      </c>
      <c r="AE14" t="s">
        <v>71</v>
      </c>
      <c r="AF14">
        <v>1</v>
      </c>
      <c r="AG14">
        <v>5.2631578947368403E-3</v>
      </c>
      <c r="AH14">
        <v>8.3088819007686894</v>
      </c>
      <c r="AI14">
        <v>7.9380765883376796</v>
      </c>
      <c r="AJ14">
        <v>0.15668866781229701</v>
      </c>
      <c r="AK14" s="1">
        <v>0.2848</v>
      </c>
      <c r="AL14">
        <v>0.14775195822454301</v>
      </c>
      <c r="AM14" s="1">
        <v>0.25850000000000001</v>
      </c>
      <c r="AN14">
        <v>743505</v>
      </c>
      <c r="AO14">
        <v>10</v>
      </c>
      <c r="AP14">
        <v>146648.33333329999</v>
      </c>
      <c r="AQ14">
        <v>1E-3</v>
      </c>
      <c r="AR14" t="s">
        <v>52</v>
      </c>
      <c r="AS14" t="s">
        <v>77</v>
      </c>
    </row>
    <row r="15" spans="1:46" x14ac:dyDescent="0.2">
      <c r="A15" t="s">
        <v>78</v>
      </c>
      <c r="B15">
        <v>0</v>
      </c>
      <c r="C15">
        <v>1</v>
      </c>
      <c r="D15">
        <v>0</v>
      </c>
      <c r="E15">
        <v>0</v>
      </c>
      <c r="F15">
        <v>1E-3</v>
      </c>
      <c r="G15">
        <v>1</v>
      </c>
      <c r="H15">
        <v>155230</v>
      </c>
      <c r="I15">
        <v>1</v>
      </c>
      <c r="J15">
        <v>5452651900.6619997</v>
      </c>
      <c r="K15">
        <v>226691473.37220001</v>
      </c>
      <c r="L15" s="1">
        <v>0.95840000000000003</v>
      </c>
      <c r="M15">
        <v>9500</v>
      </c>
      <c r="N15">
        <v>21</v>
      </c>
      <c r="O15">
        <v>760</v>
      </c>
      <c r="P15">
        <v>6.7550654497903704</v>
      </c>
      <c r="Q15">
        <v>6.7550654497903704</v>
      </c>
      <c r="R15">
        <v>14094.01</v>
      </c>
      <c r="S15">
        <v>501.084</v>
      </c>
      <c r="T15">
        <v>6909.54</v>
      </c>
      <c r="U15">
        <v>867</v>
      </c>
      <c r="V15">
        <v>2024</v>
      </c>
      <c r="W15" s="2">
        <v>45697</v>
      </c>
      <c r="X15" s="2">
        <v>45599</v>
      </c>
      <c r="Y15" s="4">
        <f t="shared" si="0"/>
        <v>98</v>
      </c>
      <c r="Z15" t="s">
        <v>78</v>
      </c>
      <c r="AA15" t="s">
        <v>47</v>
      </c>
      <c r="AB15" t="s">
        <v>76</v>
      </c>
      <c r="AC15" t="s">
        <v>49</v>
      </c>
      <c r="AD15" t="s">
        <v>50</v>
      </c>
      <c r="AE15" t="s">
        <v>71</v>
      </c>
      <c r="AF15">
        <v>1</v>
      </c>
      <c r="AG15">
        <v>5.2631578947368403E-3</v>
      </c>
      <c r="AH15">
        <v>8.3088819007686894</v>
      </c>
      <c r="AI15">
        <v>7.9694809688581296</v>
      </c>
      <c r="AJ15">
        <v>0.187006683875789</v>
      </c>
      <c r="AK15" s="1">
        <v>0.21840000000000001</v>
      </c>
      <c r="AL15">
        <v>8.5558246828143003E-2</v>
      </c>
      <c r="AM15" s="1">
        <v>6.1199999999999997E-2</v>
      </c>
      <c r="AN15">
        <v>1128960</v>
      </c>
      <c r="AO15">
        <v>11</v>
      </c>
      <c r="AP15">
        <v>146648.33333329999</v>
      </c>
      <c r="AQ15">
        <v>1E-3</v>
      </c>
      <c r="AR15" t="s">
        <v>52</v>
      </c>
      <c r="AS15" t="s">
        <v>77</v>
      </c>
    </row>
    <row r="16" spans="1:46" x14ac:dyDescent="0.2">
      <c r="A16" t="s">
        <v>79</v>
      </c>
      <c r="B16">
        <v>0</v>
      </c>
      <c r="C16">
        <v>1</v>
      </c>
      <c r="D16">
        <v>0</v>
      </c>
      <c r="E16">
        <v>0</v>
      </c>
      <c r="F16">
        <v>1E-3</v>
      </c>
      <c r="G16">
        <v>1</v>
      </c>
      <c r="H16">
        <v>13405</v>
      </c>
      <c r="I16">
        <v>1</v>
      </c>
      <c r="J16">
        <v>5684518965.4899998</v>
      </c>
      <c r="K16">
        <v>185093251.7351</v>
      </c>
      <c r="L16" s="1">
        <v>0.96740000000000004</v>
      </c>
      <c r="M16">
        <v>1575</v>
      </c>
      <c r="N16">
        <v>21</v>
      </c>
      <c r="O16">
        <v>560</v>
      </c>
      <c r="P16">
        <v>2.4816121495327099</v>
      </c>
      <c r="Q16">
        <v>2.4816121495327099</v>
      </c>
      <c r="R16">
        <v>1610</v>
      </c>
      <c r="S16">
        <v>117.215</v>
      </c>
      <c r="T16">
        <v>1062.1300000000001</v>
      </c>
      <c r="U16">
        <v>428</v>
      </c>
      <c r="V16">
        <v>2024</v>
      </c>
      <c r="W16" s="2">
        <v>45698</v>
      </c>
      <c r="X16" s="2">
        <v>45490</v>
      </c>
      <c r="Y16" s="4">
        <f t="shared" si="0"/>
        <v>208</v>
      </c>
      <c r="Z16" t="s">
        <v>79</v>
      </c>
      <c r="AA16" t="s">
        <v>47</v>
      </c>
      <c r="AB16" t="s">
        <v>80</v>
      </c>
      <c r="AC16" t="s">
        <v>49</v>
      </c>
      <c r="AD16" t="s">
        <v>50</v>
      </c>
      <c r="AE16" t="s">
        <v>71</v>
      </c>
      <c r="AF16">
        <v>1</v>
      </c>
      <c r="AG16">
        <v>2.8571428571428501E-2</v>
      </c>
      <c r="AH16">
        <v>2.6251167133519999</v>
      </c>
      <c r="AI16">
        <v>2.4816121495327099</v>
      </c>
      <c r="AJ16">
        <v>5.4665974693390199E-2</v>
      </c>
      <c r="AK16" s="1">
        <v>1</v>
      </c>
      <c r="AL16">
        <v>0.107476635514018</v>
      </c>
      <c r="AM16" s="1">
        <v>0.11749999999999999</v>
      </c>
      <c r="AN16">
        <v>3791585</v>
      </c>
      <c r="AO16">
        <v>7</v>
      </c>
      <c r="AP16">
        <v>21433.6876746538</v>
      </c>
      <c r="AQ16">
        <v>1E-3</v>
      </c>
      <c r="AR16" t="s">
        <v>52</v>
      </c>
      <c r="AS16" t="s">
        <v>81</v>
      </c>
    </row>
    <row r="17" spans="1:45" x14ac:dyDescent="0.2">
      <c r="A17" t="s">
        <v>82</v>
      </c>
      <c r="B17">
        <v>0</v>
      </c>
      <c r="C17">
        <v>1</v>
      </c>
      <c r="D17">
        <v>0</v>
      </c>
      <c r="E17">
        <v>0</v>
      </c>
      <c r="F17">
        <v>1E-3</v>
      </c>
      <c r="G17">
        <v>1</v>
      </c>
      <c r="H17">
        <v>45418.333333000002</v>
      </c>
      <c r="I17">
        <v>1</v>
      </c>
      <c r="J17">
        <v>2261138379.7782998</v>
      </c>
      <c r="K17">
        <v>143553739.56420001</v>
      </c>
      <c r="L17" s="1">
        <v>0.9365</v>
      </c>
      <c r="M17">
        <v>221.66666699999701</v>
      </c>
      <c r="N17">
        <v>21</v>
      </c>
      <c r="O17">
        <v>3400</v>
      </c>
      <c r="P17">
        <v>2.5341350000646399</v>
      </c>
      <c r="Q17">
        <v>2.5341350000646399</v>
      </c>
      <c r="R17">
        <v>24364.654999999999</v>
      </c>
      <c r="S17">
        <v>1764.095</v>
      </c>
      <c r="T17">
        <v>3317.54</v>
      </c>
      <c r="U17">
        <v>1304</v>
      </c>
      <c r="V17">
        <v>2025</v>
      </c>
      <c r="W17" s="2">
        <v>45699</v>
      </c>
      <c r="X17" s="2">
        <v>45532</v>
      </c>
      <c r="Y17" s="4">
        <f t="shared" si="0"/>
        <v>167</v>
      </c>
      <c r="Z17" t="s">
        <v>82</v>
      </c>
      <c r="AA17" t="s">
        <v>47</v>
      </c>
      <c r="AB17" t="s">
        <v>83</v>
      </c>
      <c r="AC17" t="s">
        <v>49</v>
      </c>
      <c r="AD17" t="s">
        <v>50</v>
      </c>
      <c r="AE17" t="s">
        <v>71</v>
      </c>
      <c r="AF17">
        <v>1</v>
      </c>
      <c r="AG17">
        <v>2.8571428571428501E-2</v>
      </c>
      <c r="AH17">
        <v>2.6488631878108402</v>
      </c>
      <c r="AI17">
        <v>2.5441257668711601</v>
      </c>
      <c r="AJ17">
        <v>4.3312236084575302E-2</v>
      </c>
      <c r="AK17" s="1">
        <v>0.91290000000000004</v>
      </c>
      <c r="AL17">
        <v>0.53384432515337399</v>
      </c>
      <c r="AM17" s="1">
        <v>4.8999999999999998E-3</v>
      </c>
      <c r="AN17">
        <v>7071918.75</v>
      </c>
      <c r="AO17">
        <v>8</v>
      </c>
      <c r="AP17">
        <v>101559.6738565</v>
      </c>
      <c r="AQ17">
        <v>1E-3</v>
      </c>
      <c r="AR17" t="s">
        <v>52</v>
      </c>
      <c r="AS17" t="s">
        <v>84</v>
      </c>
    </row>
    <row r="18" spans="1:45" x14ac:dyDescent="0.2">
      <c r="A18" t="s">
        <v>85</v>
      </c>
      <c r="B18">
        <v>0</v>
      </c>
      <c r="C18">
        <v>1</v>
      </c>
      <c r="D18">
        <v>0</v>
      </c>
      <c r="E18">
        <v>0</v>
      </c>
      <c r="F18">
        <v>1E-3</v>
      </c>
      <c r="G18">
        <v>1</v>
      </c>
      <c r="H18">
        <v>631378.63594800001</v>
      </c>
      <c r="I18">
        <v>1</v>
      </c>
      <c r="J18">
        <v>4672991312.8881998</v>
      </c>
      <c r="K18">
        <v>982772047.95860004</v>
      </c>
      <c r="L18" s="1">
        <v>0.78969999999999996</v>
      </c>
      <c r="M18">
        <v>241311.36405199999</v>
      </c>
      <c r="N18">
        <v>21</v>
      </c>
      <c r="O18">
        <v>1200</v>
      </c>
      <c r="P18">
        <v>2.5258621174426299</v>
      </c>
      <c r="Q18">
        <v>2.5258621174426299</v>
      </c>
      <c r="R18">
        <v>298754.53999999998</v>
      </c>
      <c r="S18">
        <v>21560.365000000002</v>
      </c>
      <c r="T18">
        <v>65306.74</v>
      </c>
      <c r="U18">
        <v>24934</v>
      </c>
      <c r="V18">
        <v>2025</v>
      </c>
      <c r="W18" s="2">
        <v>45700</v>
      </c>
      <c r="X18" s="2">
        <v>45366</v>
      </c>
      <c r="Y18" s="4">
        <f t="shared" si="0"/>
        <v>334</v>
      </c>
      <c r="Z18" t="s">
        <v>85</v>
      </c>
      <c r="AA18" t="s">
        <v>47</v>
      </c>
      <c r="AB18" t="s">
        <v>86</v>
      </c>
      <c r="AC18" t="s">
        <v>49</v>
      </c>
      <c r="AD18" t="s">
        <v>50</v>
      </c>
      <c r="AE18" t="s">
        <v>71</v>
      </c>
      <c r="AF18">
        <v>1</v>
      </c>
      <c r="AG18">
        <v>2.8571428571428501E-2</v>
      </c>
      <c r="AH18">
        <v>2.6375042925824101</v>
      </c>
      <c r="AI18">
        <v>2.6191842464105202</v>
      </c>
      <c r="AJ18">
        <v>4.2328717892046702E-2</v>
      </c>
      <c r="AK18" s="1">
        <v>0.1641</v>
      </c>
      <c r="AL18">
        <v>0.342337531082056</v>
      </c>
      <c r="AM18" s="1">
        <v>0.38219999999999998</v>
      </c>
      <c r="AN18">
        <v>10209531.25</v>
      </c>
      <c r="AO18">
        <v>3</v>
      </c>
      <c r="AP18">
        <v>729725.12112622196</v>
      </c>
      <c r="AQ18">
        <v>1E-3</v>
      </c>
      <c r="AR18" t="s">
        <v>52</v>
      </c>
      <c r="AS18" t="s">
        <v>87</v>
      </c>
    </row>
    <row r="19" spans="1:45" x14ac:dyDescent="0.2">
      <c r="A19" t="s">
        <v>88</v>
      </c>
      <c r="B19">
        <v>0</v>
      </c>
      <c r="C19">
        <v>1</v>
      </c>
      <c r="D19">
        <v>0</v>
      </c>
      <c r="E19">
        <v>0</v>
      </c>
      <c r="F19">
        <v>1E-3</v>
      </c>
      <c r="G19">
        <v>2</v>
      </c>
      <c r="H19">
        <v>986429.25</v>
      </c>
      <c r="I19">
        <v>1</v>
      </c>
      <c r="J19">
        <v>4053134863.1030998</v>
      </c>
      <c r="K19">
        <v>214928641.08950001</v>
      </c>
      <c r="L19" s="1">
        <v>0.94699999999999995</v>
      </c>
      <c r="M19">
        <v>2559315.75</v>
      </c>
      <c r="N19">
        <v>21</v>
      </c>
      <c r="O19">
        <v>4500</v>
      </c>
      <c r="P19">
        <v>2.4482869215788101</v>
      </c>
      <c r="Q19">
        <v>2.4482869215788101</v>
      </c>
      <c r="R19">
        <v>1155005.355</v>
      </c>
      <c r="S19">
        <v>80793.842999999993</v>
      </c>
      <c r="T19">
        <v>262068.07</v>
      </c>
      <c r="U19">
        <v>101307</v>
      </c>
      <c r="V19">
        <v>2025</v>
      </c>
      <c r="W19" s="2">
        <v>45701</v>
      </c>
      <c r="X19" s="2">
        <v>45401</v>
      </c>
      <c r="Y19" s="4">
        <f t="shared" si="0"/>
        <v>300</v>
      </c>
      <c r="Z19" t="s">
        <v>88</v>
      </c>
      <c r="AA19" t="s">
        <v>47</v>
      </c>
      <c r="AB19" t="s">
        <v>86</v>
      </c>
      <c r="AC19" t="s">
        <v>49</v>
      </c>
      <c r="AD19" t="s">
        <v>50</v>
      </c>
      <c r="AE19" t="s">
        <v>71</v>
      </c>
      <c r="AF19">
        <v>1</v>
      </c>
      <c r="AG19">
        <v>2.8571428571428501E-2</v>
      </c>
      <c r="AH19">
        <v>2.6375042925824101</v>
      </c>
      <c r="AI19">
        <v>2.5868703051121802</v>
      </c>
      <c r="AJ19">
        <v>7.1741066558922498E-2</v>
      </c>
      <c r="AK19" s="1">
        <v>0.2676</v>
      </c>
      <c r="AL19">
        <v>0.32574405519855398</v>
      </c>
      <c r="AM19" s="1">
        <v>2.5945</v>
      </c>
      <c r="AN19">
        <v>12786168.75</v>
      </c>
      <c r="AO19">
        <v>4</v>
      </c>
      <c r="AP19">
        <v>729725.12112622196</v>
      </c>
      <c r="AQ19">
        <v>1E-3</v>
      </c>
      <c r="AR19" t="s">
        <v>52</v>
      </c>
      <c r="AS19" t="s">
        <v>87</v>
      </c>
    </row>
    <row r="20" spans="1:45" x14ac:dyDescent="0.2">
      <c r="A20" t="s">
        <v>89</v>
      </c>
      <c r="B20">
        <v>0</v>
      </c>
      <c r="C20">
        <v>1</v>
      </c>
      <c r="D20">
        <v>0</v>
      </c>
      <c r="E20">
        <v>0</v>
      </c>
      <c r="F20">
        <v>1E-3</v>
      </c>
      <c r="G20">
        <v>2</v>
      </c>
      <c r="H20">
        <v>997351.76686500001</v>
      </c>
      <c r="I20">
        <v>1</v>
      </c>
      <c r="J20">
        <v>6107338376.7454004</v>
      </c>
      <c r="K20">
        <v>2699879709.8916998</v>
      </c>
      <c r="L20" s="1">
        <v>0.55789999999999995</v>
      </c>
      <c r="M20">
        <v>1335713.2331350001</v>
      </c>
      <c r="N20">
        <v>21</v>
      </c>
      <c r="O20">
        <v>900</v>
      </c>
      <c r="P20">
        <v>2.4441756828747598</v>
      </c>
      <c r="Q20">
        <v>2.4441756828747598</v>
      </c>
      <c r="R20">
        <v>730573.2</v>
      </c>
      <c r="S20">
        <v>51018.55</v>
      </c>
      <c r="T20">
        <v>172803.22</v>
      </c>
      <c r="U20">
        <v>66659</v>
      </c>
      <c r="V20">
        <v>2025</v>
      </c>
      <c r="W20" s="2">
        <v>45702</v>
      </c>
      <c r="X20" s="2">
        <v>45415</v>
      </c>
      <c r="Y20" s="4">
        <f t="shared" si="0"/>
        <v>287</v>
      </c>
      <c r="Z20" t="s">
        <v>89</v>
      </c>
      <c r="AA20" t="s">
        <v>47</v>
      </c>
      <c r="AB20" t="s">
        <v>86</v>
      </c>
      <c r="AC20" t="s">
        <v>49</v>
      </c>
      <c r="AD20" t="s">
        <v>50</v>
      </c>
      <c r="AE20" t="s">
        <v>71</v>
      </c>
      <c r="AF20">
        <v>1</v>
      </c>
      <c r="AG20">
        <v>2.8571428571428501E-2</v>
      </c>
      <c r="AH20">
        <v>2.6328508214470601</v>
      </c>
      <c r="AI20">
        <v>2.5923464198382802</v>
      </c>
      <c r="AJ20">
        <v>7.1661917582023796E-2</v>
      </c>
      <c r="AK20" s="1">
        <v>0.2147</v>
      </c>
      <c r="AL20">
        <v>0.31313881096326002</v>
      </c>
      <c r="AM20" s="1">
        <v>1.3392999999999999</v>
      </c>
      <c r="AN20">
        <v>14366850</v>
      </c>
      <c r="AO20">
        <v>5</v>
      </c>
      <c r="AP20">
        <v>729725.12112622196</v>
      </c>
      <c r="AQ20">
        <v>1E-3</v>
      </c>
      <c r="AR20" t="s">
        <v>52</v>
      </c>
      <c r="AS20" t="s">
        <v>87</v>
      </c>
    </row>
    <row r="21" spans="1:45" x14ac:dyDescent="0.2">
      <c r="A21" t="s">
        <v>90</v>
      </c>
      <c r="B21">
        <v>0</v>
      </c>
      <c r="C21">
        <v>1</v>
      </c>
      <c r="D21">
        <v>0</v>
      </c>
      <c r="E21">
        <v>0</v>
      </c>
      <c r="F21">
        <v>1E-3</v>
      </c>
      <c r="G21">
        <v>2</v>
      </c>
      <c r="H21">
        <v>1300582.3333330001</v>
      </c>
      <c r="I21">
        <v>1</v>
      </c>
      <c r="J21">
        <v>7888826129.7195997</v>
      </c>
      <c r="K21">
        <v>215013181.75659999</v>
      </c>
      <c r="L21" s="1">
        <v>0.97270000000000001</v>
      </c>
      <c r="M21">
        <v>1461127.6666669999</v>
      </c>
      <c r="N21">
        <v>21</v>
      </c>
      <c r="O21">
        <v>670</v>
      </c>
      <c r="P21">
        <v>2.4683004791546699</v>
      </c>
      <c r="Q21">
        <v>2.4683004791546699</v>
      </c>
      <c r="R21">
        <v>949442.9</v>
      </c>
      <c r="S21">
        <v>66957.438999999998</v>
      </c>
      <c r="T21">
        <v>203720.35</v>
      </c>
      <c r="U21">
        <v>78906</v>
      </c>
      <c r="V21">
        <v>2025</v>
      </c>
      <c r="W21" s="2">
        <v>45703</v>
      </c>
      <c r="X21" s="2">
        <v>45450</v>
      </c>
      <c r="Y21" s="4">
        <f t="shared" si="0"/>
        <v>253</v>
      </c>
      <c r="Z21" t="s">
        <v>90</v>
      </c>
      <c r="AA21" t="s">
        <v>47</v>
      </c>
      <c r="AB21" t="s">
        <v>86</v>
      </c>
      <c r="AC21" t="s">
        <v>49</v>
      </c>
      <c r="AD21" t="s">
        <v>50</v>
      </c>
      <c r="AE21" t="s">
        <v>71</v>
      </c>
      <c r="AF21">
        <v>1</v>
      </c>
      <c r="AG21">
        <v>2.8571428571428501E-2</v>
      </c>
      <c r="AH21">
        <v>2.6124259005927901</v>
      </c>
      <c r="AI21">
        <v>2.5818106354396302</v>
      </c>
      <c r="AJ21">
        <v>5.5169190217193097E-2</v>
      </c>
      <c r="AK21" s="1">
        <v>0.21240000000000001</v>
      </c>
      <c r="AL21">
        <v>0.34378805160570802</v>
      </c>
      <c r="AM21" s="1">
        <v>1.1234</v>
      </c>
      <c r="AN21">
        <v>36559087.5</v>
      </c>
      <c r="AO21">
        <v>6</v>
      </c>
      <c r="AP21">
        <v>729725.12112622196</v>
      </c>
      <c r="AQ21">
        <v>1E-3</v>
      </c>
      <c r="AR21" t="s">
        <v>52</v>
      </c>
      <c r="AS21" t="s">
        <v>87</v>
      </c>
    </row>
    <row r="22" spans="1:45" x14ac:dyDescent="0.2">
      <c r="A22" t="s">
        <v>91</v>
      </c>
      <c r="B22">
        <v>0</v>
      </c>
      <c r="C22">
        <v>1</v>
      </c>
      <c r="D22">
        <v>0</v>
      </c>
      <c r="E22">
        <v>0</v>
      </c>
      <c r="F22">
        <v>1E-3</v>
      </c>
      <c r="G22">
        <v>2</v>
      </c>
      <c r="H22">
        <v>1213244.1810010001</v>
      </c>
      <c r="I22">
        <v>1</v>
      </c>
      <c r="J22">
        <v>6238718577.5600996</v>
      </c>
      <c r="K22">
        <v>480412383.29049999</v>
      </c>
      <c r="L22" s="1">
        <v>0.92300000000000004</v>
      </c>
      <c r="M22">
        <v>192915.81899899899</v>
      </c>
      <c r="N22">
        <v>21</v>
      </c>
      <c r="O22">
        <v>890</v>
      </c>
      <c r="P22">
        <v>4.28647329037529</v>
      </c>
      <c r="Q22">
        <v>4.28647329037529</v>
      </c>
      <c r="R22">
        <v>466836.96</v>
      </c>
      <c r="S22">
        <v>25013.552</v>
      </c>
      <c r="T22">
        <v>78910.240000000005</v>
      </c>
      <c r="U22">
        <v>17577</v>
      </c>
      <c r="V22">
        <v>2025</v>
      </c>
      <c r="W22" s="2">
        <v>45704</v>
      </c>
      <c r="X22" s="2">
        <v>45422</v>
      </c>
      <c r="Y22" s="4">
        <f t="shared" si="0"/>
        <v>282</v>
      </c>
      <c r="Z22" t="s">
        <v>91</v>
      </c>
      <c r="AA22" t="s">
        <v>47</v>
      </c>
      <c r="AB22" t="s">
        <v>92</v>
      </c>
      <c r="AC22" t="s">
        <v>49</v>
      </c>
      <c r="AD22" t="s">
        <v>50</v>
      </c>
      <c r="AE22" t="s">
        <v>71</v>
      </c>
      <c r="AF22">
        <v>1</v>
      </c>
      <c r="AG22">
        <v>1.2500000000000001E-2</v>
      </c>
      <c r="AH22">
        <v>4.6175413349663197</v>
      </c>
      <c r="AI22">
        <v>4.48940319736018</v>
      </c>
      <c r="AJ22">
        <v>7.1697906001189901E-2</v>
      </c>
      <c r="AK22" s="1">
        <v>0.38700000000000001</v>
      </c>
      <c r="AL22">
        <v>0.33199419696193799</v>
      </c>
      <c r="AM22" s="1">
        <v>0.159</v>
      </c>
      <c r="AN22">
        <v>185367219.5122</v>
      </c>
      <c r="AO22">
        <v>5</v>
      </c>
      <c r="AP22">
        <v>1172662.0905005001</v>
      </c>
      <c r="AQ22">
        <v>1E-3</v>
      </c>
      <c r="AR22" t="s">
        <v>52</v>
      </c>
      <c r="AS22" t="s">
        <v>93</v>
      </c>
    </row>
    <row r="23" spans="1:45" x14ac:dyDescent="0.2">
      <c r="A23" t="s">
        <v>94</v>
      </c>
      <c r="B23">
        <v>0</v>
      </c>
      <c r="C23">
        <v>1</v>
      </c>
      <c r="D23">
        <v>0</v>
      </c>
      <c r="E23">
        <v>0</v>
      </c>
      <c r="F23">
        <v>1E-3</v>
      </c>
      <c r="G23">
        <v>1</v>
      </c>
      <c r="H23">
        <v>438636.205357</v>
      </c>
      <c r="I23">
        <v>1</v>
      </c>
      <c r="J23">
        <v>5452651900.6619997</v>
      </c>
      <c r="K23">
        <v>226691473.37220001</v>
      </c>
      <c r="L23" s="1">
        <v>0.95840000000000003</v>
      </c>
      <c r="M23">
        <v>200083.794643</v>
      </c>
      <c r="N23">
        <v>21</v>
      </c>
      <c r="O23">
        <v>1200</v>
      </c>
      <c r="P23">
        <v>7.5808971713165603</v>
      </c>
      <c r="Q23">
        <v>7.5808971713165603</v>
      </c>
      <c r="R23">
        <v>237860.48000000001</v>
      </c>
      <c r="S23">
        <v>11269.974</v>
      </c>
      <c r="T23">
        <v>31948.12</v>
      </c>
      <c r="U23">
        <v>3992</v>
      </c>
      <c r="V23">
        <v>2025</v>
      </c>
      <c r="W23" s="2">
        <v>45705</v>
      </c>
      <c r="X23" s="2">
        <v>45599</v>
      </c>
      <c r="Y23" s="4">
        <f t="shared" si="0"/>
        <v>106</v>
      </c>
      <c r="Z23" t="s">
        <v>94</v>
      </c>
      <c r="AA23" t="s">
        <v>47</v>
      </c>
      <c r="AB23" t="s">
        <v>95</v>
      </c>
      <c r="AC23" t="s">
        <v>49</v>
      </c>
      <c r="AD23" t="s">
        <v>50</v>
      </c>
      <c r="AE23" t="s">
        <v>71</v>
      </c>
      <c r="AF23">
        <v>1</v>
      </c>
      <c r="AG23">
        <v>6.2500000000000003E-3</v>
      </c>
      <c r="AH23">
        <v>8.0542986425339294</v>
      </c>
      <c r="AI23">
        <v>8.0030360721442797</v>
      </c>
      <c r="AJ23">
        <v>5.8776250078112199E-2</v>
      </c>
      <c r="AK23" s="1">
        <v>0.10829999999999999</v>
      </c>
      <c r="AL23">
        <v>0.37240180360721398</v>
      </c>
      <c r="AM23" s="1">
        <v>0.45610000000000001</v>
      </c>
      <c r="AN23">
        <v>184831024.39019999</v>
      </c>
      <c r="AO23">
        <v>11</v>
      </c>
      <c r="AP23">
        <v>450920.15740740002</v>
      </c>
      <c r="AQ23">
        <v>1E-3</v>
      </c>
      <c r="AR23" t="s">
        <v>52</v>
      </c>
      <c r="AS23" t="s">
        <v>96</v>
      </c>
    </row>
    <row r="24" spans="1:45" x14ac:dyDescent="0.2">
      <c r="A24" t="s">
        <v>97</v>
      </c>
      <c r="B24">
        <v>0</v>
      </c>
      <c r="C24">
        <v>1</v>
      </c>
      <c r="D24">
        <v>0</v>
      </c>
      <c r="E24">
        <v>0</v>
      </c>
      <c r="F24">
        <v>1E-3</v>
      </c>
      <c r="G24">
        <v>1</v>
      </c>
      <c r="H24">
        <v>481826.15575400001</v>
      </c>
      <c r="I24">
        <v>1</v>
      </c>
      <c r="J24">
        <v>1755479941.9770999</v>
      </c>
      <c r="K24">
        <v>354934452.5036</v>
      </c>
      <c r="L24" s="1">
        <v>0.79779999999999995</v>
      </c>
      <c r="M24">
        <v>216733.84424599999</v>
      </c>
      <c r="N24">
        <v>21</v>
      </c>
      <c r="O24">
        <v>1200</v>
      </c>
      <c r="P24">
        <v>7.3951390227912501</v>
      </c>
      <c r="Q24">
        <v>7.3951390227912501</v>
      </c>
      <c r="R24">
        <v>248937.60000000001</v>
      </c>
      <c r="S24">
        <v>11505.800999999999</v>
      </c>
      <c r="T24">
        <v>35039.69</v>
      </c>
      <c r="U24">
        <v>4366</v>
      </c>
      <c r="V24">
        <v>2025</v>
      </c>
      <c r="W24" s="2">
        <v>45706</v>
      </c>
      <c r="X24" s="2">
        <v>45648</v>
      </c>
      <c r="Y24" s="4">
        <f t="shared" si="0"/>
        <v>58</v>
      </c>
      <c r="Z24" t="s">
        <v>97</v>
      </c>
      <c r="AA24" t="s">
        <v>47</v>
      </c>
      <c r="AB24" t="s">
        <v>95</v>
      </c>
      <c r="AC24" t="s">
        <v>49</v>
      </c>
      <c r="AD24" t="s">
        <v>50</v>
      </c>
      <c r="AE24" t="s">
        <v>71</v>
      </c>
      <c r="AF24">
        <v>1</v>
      </c>
      <c r="AG24">
        <v>6.2500000000000003E-3</v>
      </c>
      <c r="AH24">
        <v>8.0255817682088804</v>
      </c>
      <c r="AI24">
        <v>8.0255817682088804</v>
      </c>
      <c r="AJ24">
        <v>7.8554148923503195E-2</v>
      </c>
      <c r="AK24" s="1">
        <v>0</v>
      </c>
      <c r="AL24">
        <v>0.35635822262940903</v>
      </c>
      <c r="AM24" s="1">
        <v>0.44979999999999998</v>
      </c>
      <c r="AN24">
        <v>156975609.7561</v>
      </c>
      <c r="AO24">
        <v>12</v>
      </c>
      <c r="AP24">
        <v>450920.15740740002</v>
      </c>
      <c r="AQ24">
        <v>1E-3</v>
      </c>
      <c r="AR24" t="s">
        <v>52</v>
      </c>
      <c r="AS24" t="s">
        <v>96</v>
      </c>
    </row>
    <row r="25" spans="1:45" x14ac:dyDescent="0.2">
      <c r="A25" t="s">
        <v>98</v>
      </c>
      <c r="B25">
        <v>0</v>
      </c>
      <c r="C25">
        <v>1</v>
      </c>
      <c r="D25">
        <v>0</v>
      </c>
      <c r="E25">
        <v>0</v>
      </c>
      <c r="F25">
        <v>1E-3</v>
      </c>
      <c r="G25">
        <v>1</v>
      </c>
      <c r="H25">
        <v>291900</v>
      </c>
      <c r="I25">
        <v>1</v>
      </c>
      <c r="J25">
        <v>4672991312.8881998</v>
      </c>
      <c r="K25">
        <v>982772047.95860004</v>
      </c>
      <c r="L25" s="1">
        <v>0.78969999999999996</v>
      </c>
      <c r="M25">
        <v>16100</v>
      </c>
      <c r="N25">
        <v>21</v>
      </c>
      <c r="O25">
        <v>1200</v>
      </c>
      <c r="P25">
        <v>7.79431705291349</v>
      </c>
      <c r="Q25">
        <v>7.79431705291349</v>
      </c>
      <c r="R25">
        <v>168948.96</v>
      </c>
      <c r="S25">
        <v>8230.2610000000004</v>
      </c>
      <c r="T25">
        <v>15318.23</v>
      </c>
      <c r="U25">
        <v>1925</v>
      </c>
      <c r="V25">
        <v>2025</v>
      </c>
      <c r="W25" s="2">
        <v>45707</v>
      </c>
      <c r="X25" s="2">
        <v>45366</v>
      </c>
      <c r="Y25" s="4">
        <f t="shared" si="0"/>
        <v>341</v>
      </c>
      <c r="Z25" t="s">
        <v>98</v>
      </c>
      <c r="AA25" t="s">
        <v>47</v>
      </c>
      <c r="AB25" t="s">
        <v>95</v>
      </c>
      <c r="AC25" t="s">
        <v>49</v>
      </c>
      <c r="AD25" t="s">
        <v>50</v>
      </c>
      <c r="AE25" t="s">
        <v>71</v>
      </c>
      <c r="AF25">
        <v>1</v>
      </c>
      <c r="AG25">
        <v>6.2500000000000003E-3</v>
      </c>
      <c r="AH25">
        <v>7.9869108280254704</v>
      </c>
      <c r="AI25">
        <v>7.9575220779220697</v>
      </c>
      <c r="AJ25">
        <v>2.4113675394519599E-2</v>
      </c>
      <c r="AK25" s="1">
        <v>0.15260000000000001</v>
      </c>
      <c r="AL25">
        <v>0.54853558441558403</v>
      </c>
      <c r="AM25" s="1">
        <v>5.5199999999999999E-2</v>
      </c>
      <c r="AN25">
        <v>147570731.70730001</v>
      </c>
      <c r="AO25">
        <v>3</v>
      </c>
      <c r="AP25">
        <v>507869.37265331502</v>
      </c>
      <c r="AQ25">
        <v>1E-3</v>
      </c>
      <c r="AR25" t="s">
        <v>52</v>
      </c>
      <c r="AS25" t="s">
        <v>96</v>
      </c>
    </row>
    <row r="26" spans="1:45" x14ac:dyDescent="0.2">
      <c r="A26" t="s">
        <v>99</v>
      </c>
      <c r="B26">
        <v>0</v>
      </c>
      <c r="C26">
        <v>1</v>
      </c>
      <c r="D26">
        <v>0</v>
      </c>
      <c r="E26">
        <v>0</v>
      </c>
      <c r="F26">
        <v>1E-3</v>
      </c>
      <c r="G26">
        <v>1</v>
      </c>
      <c r="H26">
        <v>319180</v>
      </c>
      <c r="I26">
        <v>1</v>
      </c>
      <c r="J26">
        <v>2067516834.5084</v>
      </c>
      <c r="K26">
        <v>134502539.78299999</v>
      </c>
      <c r="L26" s="1">
        <v>0.93489999999999995</v>
      </c>
      <c r="M26">
        <v>43380</v>
      </c>
      <c r="N26">
        <v>7</v>
      </c>
      <c r="O26">
        <v>1200</v>
      </c>
      <c r="P26">
        <v>7.71971554841301</v>
      </c>
      <c r="Q26">
        <v>7.71971554841301</v>
      </c>
      <c r="R26">
        <v>199120</v>
      </c>
      <c r="S26">
        <v>9607.1859999999997</v>
      </c>
      <c r="T26">
        <v>17904.37</v>
      </c>
      <c r="U26">
        <v>2266</v>
      </c>
      <c r="V26">
        <v>2025</v>
      </c>
      <c r="W26" s="2">
        <v>45708</v>
      </c>
      <c r="X26" s="2">
        <v>45373</v>
      </c>
      <c r="Y26" s="4">
        <f t="shared" si="0"/>
        <v>335</v>
      </c>
      <c r="Z26" t="s">
        <v>99</v>
      </c>
      <c r="AA26" t="s">
        <v>47</v>
      </c>
      <c r="AB26" t="s">
        <v>95</v>
      </c>
      <c r="AC26" t="s">
        <v>49</v>
      </c>
      <c r="AD26" t="s">
        <v>50</v>
      </c>
      <c r="AE26" t="s">
        <v>71</v>
      </c>
      <c r="AF26">
        <v>1</v>
      </c>
      <c r="AG26">
        <v>6.2500000000000003E-3</v>
      </c>
      <c r="AH26">
        <v>7.9862511091392996</v>
      </c>
      <c r="AI26">
        <v>7.9013106796116501</v>
      </c>
      <c r="AJ26">
        <v>3.3374302546193599E-2</v>
      </c>
      <c r="AK26" s="1">
        <v>0.31869999999999998</v>
      </c>
      <c r="AL26">
        <v>0.54920564872021105</v>
      </c>
      <c r="AM26" s="1">
        <v>0.13589999999999999</v>
      </c>
      <c r="AN26">
        <v>1485325</v>
      </c>
      <c r="AO26">
        <v>3</v>
      </c>
      <c r="AP26">
        <v>507869.37265331502</v>
      </c>
      <c r="AQ26">
        <v>1E-3</v>
      </c>
      <c r="AR26" t="s">
        <v>52</v>
      </c>
      <c r="AS26" t="s">
        <v>96</v>
      </c>
    </row>
    <row r="27" spans="1:45" x14ac:dyDescent="0.2">
      <c r="A27" t="s">
        <v>100</v>
      </c>
      <c r="B27">
        <v>0</v>
      </c>
      <c r="C27">
        <v>1</v>
      </c>
      <c r="D27">
        <v>0</v>
      </c>
      <c r="E27">
        <v>0</v>
      </c>
      <c r="F27">
        <v>1E-3</v>
      </c>
      <c r="G27">
        <v>1</v>
      </c>
      <c r="H27">
        <v>439980</v>
      </c>
      <c r="I27">
        <v>1</v>
      </c>
      <c r="J27">
        <v>1866745742.2756</v>
      </c>
      <c r="K27">
        <v>88349261.258900002</v>
      </c>
      <c r="L27" s="1">
        <v>0.95269999999999999</v>
      </c>
      <c r="M27">
        <v>164180</v>
      </c>
      <c r="N27">
        <v>7</v>
      </c>
      <c r="O27">
        <v>1200</v>
      </c>
      <c r="P27">
        <v>7.5803427486575199</v>
      </c>
      <c r="Q27">
        <v>7.5803427486575199</v>
      </c>
      <c r="R27">
        <v>244741.44</v>
      </c>
      <c r="S27">
        <v>11595.15</v>
      </c>
      <c r="T27">
        <v>30037.21</v>
      </c>
      <c r="U27">
        <v>3776</v>
      </c>
      <c r="V27">
        <v>2025</v>
      </c>
      <c r="W27" s="2">
        <v>45709</v>
      </c>
      <c r="X27" s="2">
        <v>45387</v>
      </c>
      <c r="Y27" s="4">
        <f t="shared" si="0"/>
        <v>322</v>
      </c>
      <c r="Z27" t="s">
        <v>100</v>
      </c>
      <c r="AA27" t="s">
        <v>47</v>
      </c>
      <c r="AB27" t="s">
        <v>95</v>
      </c>
      <c r="AC27" t="s">
        <v>49</v>
      </c>
      <c r="AD27" t="s">
        <v>50</v>
      </c>
      <c r="AE27" t="s">
        <v>71</v>
      </c>
      <c r="AF27">
        <v>1</v>
      </c>
      <c r="AG27">
        <v>6.2500000000000003E-3</v>
      </c>
      <c r="AH27">
        <v>7.96733811386353</v>
      </c>
      <c r="AI27">
        <v>7.95476959745762</v>
      </c>
      <c r="AJ27">
        <v>4.8572730273945201E-2</v>
      </c>
      <c r="AK27" s="1">
        <v>3.2500000000000001E-2</v>
      </c>
      <c r="AL27">
        <v>0.40509374999999997</v>
      </c>
      <c r="AM27" s="1">
        <v>0.37319999999999998</v>
      </c>
      <c r="AN27">
        <v>1528835</v>
      </c>
      <c r="AO27">
        <v>4</v>
      </c>
      <c r="AP27">
        <v>507869.37265331502</v>
      </c>
      <c r="AQ27">
        <v>1E-3</v>
      </c>
      <c r="AR27" t="s">
        <v>52</v>
      </c>
      <c r="AS27" t="s">
        <v>96</v>
      </c>
    </row>
    <row r="28" spans="1:45" x14ac:dyDescent="0.2">
      <c r="A28" t="s">
        <v>101</v>
      </c>
      <c r="B28">
        <v>0</v>
      </c>
      <c r="C28">
        <v>1</v>
      </c>
      <c r="D28">
        <v>0</v>
      </c>
      <c r="E28">
        <v>0</v>
      </c>
      <c r="F28">
        <v>1E-3</v>
      </c>
      <c r="G28">
        <v>1</v>
      </c>
      <c r="H28">
        <v>308733.33333300002</v>
      </c>
      <c r="I28">
        <v>1</v>
      </c>
      <c r="J28">
        <v>1897579029.6930001</v>
      </c>
      <c r="K28">
        <v>279308461.28670001</v>
      </c>
      <c r="L28" s="1">
        <v>0.8528</v>
      </c>
      <c r="M28">
        <v>75586.666666999896</v>
      </c>
      <c r="N28">
        <v>7</v>
      </c>
      <c r="O28">
        <v>1200</v>
      </c>
      <c r="P28">
        <v>7.5875770851587596</v>
      </c>
      <c r="Q28">
        <v>7.5875770851587596</v>
      </c>
      <c r="R28">
        <v>191736</v>
      </c>
      <c r="S28">
        <v>9092.5730000000003</v>
      </c>
      <c r="T28">
        <v>18979.759999999998</v>
      </c>
      <c r="U28">
        <v>2402</v>
      </c>
      <c r="V28">
        <v>2025</v>
      </c>
      <c r="W28" s="2">
        <v>45710</v>
      </c>
      <c r="X28" s="2">
        <v>45394</v>
      </c>
      <c r="Y28" s="4">
        <f t="shared" si="0"/>
        <v>316</v>
      </c>
      <c r="Z28" t="s">
        <v>101</v>
      </c>
      <c r="AA28" t="s">
        <v>47</v>
      </c>
      <c r="AB28" t="s">
        <v>95</v>
      </c>
      <c r="AC28" t="s">
        <v>49</v>
      </c>
      <c r="AD28" t="s">
        <v>50</v>
      </c>
      <c r="AE28" t="s">
        <v>71</v>
      </c>
      <c r="AF28">
        <v>1</v>
      </c>
      <c r="AG28">
        <v>6.2500000000000003E-3</v>
      </c>
      <c r="AH28">
        <v>7.96733811386353</v>
      </c>
      <c r="AI28">
        <v>7.90164862614487</v>
      </c>
      <c r="AJ28">
        <v>4.7664731090547599E-2</v>
      </c>
      <c r="AK28" s="1">
        <v>0.17299999999999999</v>
      </c>
      <c r="AL28">
        <v>0.49889675270607797</v>
      </c>
      <c r="AM28" s="1">
        <v>0.24479999999999999</v>
      </c>
      <c r="AN28">
        <v>1556100</v>
      </c>
      <c r="AO28">
        <v>4</v>
      </c>
      <c r="AP28">
        <v>507869.37265331502</v>
      </c>
      <c r="AQ28">
        <v>1E-3</v>
      </c>
      <c r="AR28" t="s">
        <v>52</v>
      </c>
      <c r="AS28" t="s">
        <v>96</v>
      </c>
    </row>
    <row r="29" spans="1:45" x14ac:dyDescent="0.2">
      <c r="A29" t="s">
        <v>102</v>
      </c>
      <c r="B29">
        <v>0</v>
      </c>
      <c r="C29">
        <v>1</v>
      </c>
      <c r="D29">
        <v>0</v>
      </c>
      <c r="E29">
        <v>0</v>
      </c>
      <c r="F29">
        <v>1E-3</v>
      </c>
      <c r="G29">
        <v>1</v>
      </c>
      <c r="H29">
        <v>584809.16530700005</v>
      </c>
      <c r="I29">
        <v>1</v>
      </c>
      <c r="J29">
        <v>1338042152.0696001</v>
      </c>
      <c r="K29">
        <v>126556868.54620001</v>
      </c>
      <c r="L29" s="1">
        <v>0.90539999999999998</v>
      </c>
      <c r="M29">
        <v>1640790.834693</v>
      </c>
      <c r="N29">
        <v>7</v>
      </c>
      <c r="O29">
        <v>1200</v>
      </c>
      <c r="P29">
        <v>7.22072263654103</v>
      </c>
      <c r="Q29">
        <v>7.22072263654103</v>
      </c>
      <c r="R29">
        <v>747121.92</v>
      </c>
      <c r="S29">
        <v>33717.250999999997</v>
      </c>
      <c r="T29">
        <v>108928.66</v>
      </c>
      <c r="U29">
        <v>13910</v>
      </c>
      <c r="V29">
        <v>2025</v>
      </c>
      <c r="W29" s="2">
        <v>45711</v>
      </c>
      <c r="X29" s="2">
        <v>45443</v>
      </c>
      <c r="Y29" s="4">
        <f t="shared" si="0"/>
        <v>268</v>
      </c>
      <c r="Z29" t="s">
        <v>102</v>
      </c>
      <c r="AA29" t="s">
        <v>47</v>
      </c>
      <c r="AB29" t="s">
        <v>95</v>
      </c>
      <c r="AC29" t="s">
        <v>49</v>
      </c>
      <c r="AD29" t="s">
        <v>50</v>
      </c>
      <c r="AE29" t="s">
        <v>71</v>
      </c>
      <c r="AF29">
        <v>1</v>
      </c>
      <c r="AG29">
        <v>6.2500000000000003E-3</v>
      </c>
      <c r="AH29">
        <v>8.1149606299212493</v>
      </c>
      <c r="AI29">
        <v>7.8309604601006404</v>
      </c>
      <c r="AJ29">
        <v>0.110196220802725</v>
      </c>
      <c r="AK29" s="1">
        <v>0.31759999999999999</v>
      </c>
      <c r="AL29">
        <v>0.33569460819554198</v>
      </c>
      <c r="AM29" s="1">
        <v>2.8056999999999999</v>
      </c>
      <c r="AN29">
        <v>1834450</v>
      </c>
      <c r="AO29">
        <v>6</v>
      </c>
      <c r="AP29">
        <v>507869.37265331502</v>
      </c>
      <c r="AQ29">
        <v>1E-3</v>
      </c>
      <c r="AR29" t="s">
        <v>52</v>
      </c>
      <c r="AS29" t="s">
        <v>96</v>
      </c>
    </row>
    <row r="30" spans="1:45" x14ac:dyDescent="0.2">
      <c r="A30" t="s">
        <v>103</v>
      </c>
      <c r="B30">
        <v>0</v>
      </c>
      <c r="C30">
        <v>1</v>
      </c>
      <c r="D30">
        <v>0</v>
      </c>
      <c r="E30">
        <v>0</v>
      </c>
      <c r="F30">
        <v>1E-3</v>
      </c>
      <c r="G30">
        <v>1</v>
      </c>
      <c r="H30">
        <v>657848.08248300001</v>
      </c>
      <c r="I30">
        <v>1</v>
      </c>
      <c r="J30">
        <v>7888826129.7195997</v>
      </c>
      <c r="K30">
        <v>215013181.75659999</v>
      </c>
      <c r="L30" s="1">
        <v>0.97270000000000001</v>
      </c>
      <c r="M30">
        <v>1716391.9175170001</v>
      </c>
      <c r="N30">
        <v>7</v>
      </c>
      <c r="O30">
        <v>1200</v>
      </c>
      <c r="P30">
        <v>7.6101703449689202</v>
      </c>
      <c r="Q30">
        <v>7.6101703449689202</v>
      </c>
      <c r="R30">
        <v>772146.08</v>
      </c>
      <c r="S30">
        <v>36726.019999999997</v>
      </c>
      <c r="T30">
        <v>117036.18</v>
      </c>
      <c r="U30">
        <v>14839</v>
      </c>
      <c r="V30">
        <v>2025</v>
      </c>
      <c r="W30" s="2">
        <v>45712</v>
      </c>
      <c r="X30" s="2">
        <v>45450</v>
      </c>
      <c r="Y30" s="4">
        <f t="shared" si="0"/>
        <v>262</v>
      </c>
      <c r="Z30" t="s">
        <v>103</v>
      </c>
      <c r="AA30" t="s">
        <v>47</v>
      </c>
      <c r="AB30" t="s">
        <v>95</v>
      </c>
      <c r="AC30" t="s">
        <v>49</v>
      </c>
      <c r="AD30" t="s">
        <v>50</v>
      </c>
      <c r="AE30" t="s">
        <v>71</v>
      </c>
      <c r="AF30">
        <v>1</v>
      </c>
      <c r="AG30">
        <v>6.2500000000000003E-3</v>
      </c>
      <c r="AH30">
        <v>8.1149606299212493</v>
      </c>
      <c r="AI30">
        <v>7.8870665139160296</v>
      </c>
      <c r="AJ30">
        <v>6.2204896360321102E-2</v>
      </c>
      <c r="AK30" s="1">
        <v>0.45150000000000001</v>
      </c>
      <c r="AL30">
        <v>0.32521820877417601</v>
      </c>
      <c r="AM30" s="1">
        <v>2.6091000000000002</v>
      </c>
      <c r="AN30">
        <v>1985690</v>
      </c>
      <c r="AO30">
        <v>6</v>
      </c>
      <c r="AP30">
        <v>507869.37265331502</v>
      </c>
      <c r="AQ30">
        <v>1E-3</v>
      </c>
      <c r="AR30" t="s">
        <v>52</v>
      </c>
      <c r="AS30" t="s">
        <v>96</v>
      </c>
    </row>
    <row r="31" spans="1:45" x14ac:dyDescent="0.2">
      <c r="A31" t="s">
        <v>104</v>
      </c>
      <c r="B31">
        <v>0</v>
      </c>
      <c r="C31">
        <v>1</v>
      </c>
      <c r="D31">
        <v>0</v>
      </c>
      <c r="E31">
        <v>0</v>
      </c>
      <c r="F31">
        <v>1E-3</v>
      </c>
      <c r="G31">
        <v>3</v>
      </c>
      <c r="H31">
        <v>3802.0951169999998</v>
      </c>
      <c r="I31">
        <v>1</v>
      </c>
      <c r="J31">
        <v>4287230396.5198998</v>
      </c>
      <c r="K31">
        <v>84158326.727899998</v>
      </c>
      <c r="L31" s="1">
        <v>0.98040000000000005</v>
      </c>
      <c r="M31">
        <v>19087.904882999999</v>
      </c>
      <c r="N31">
        <v>7</v>
      </c>
      <c r="O31">
        <v>1200</v>
      </c>
      <c r="P31">
        <v>5.2448165137614602</v>
      </c>
      <c r="Q31">
        <v>5.2448165137614602</v>
      </c>
      <c r="R31">
        <v>0</v>
      </c>
      <c r="S31">
        <v>0</v>
      </c>
      <c r="T31">
        <v>1143.3699999999999</v>
      </c>
      <c r="U31">
        <v>218</v>
      </c>
      <c r="V31">
        <v>2025</v>
      </c>
      <c r="W31" s="2">
        <v>45713</v>
      </c>
      <c r="X31" s="2">
        <v>45513</v>
      </c>
      <c r="Y31" s="4">
        <f t="shared" si="0"/>
        <v>200</v>
      </c>
      <c r="Z31" t="s">
        <v>104</v>
      </c>
      <c r="AA31" t="s">
        <v>47</v>
      </c>
      <c r="AB31" t="s">
        <v>105</v>
      </c>
      <c r="AC31" t="s">
        <v>49</v>
      </c>
      <c r="AD31" t="s">
        <v>50</v>
      </c>
      <c r="AE31" t="s">
        <v>71</v>
      </c>
      <c r="AF31">
        <v>1</v>
      </c>
      <c r="AG31">
        <v>9.5238095238095195E-3</v>
      </c>
      <c r="AH31">
        <v>5.7521739130434701</v>
      </c>
      <c r="AI31">
        <v>5.2448165137614602</v>
      </c>
      <c r="AJ31">
        <v>8.8202722475330703E-2</v>
      </c>
      <c r="AK31" s="1">
        <v>1</v>
      </c>
      <c r="AL31">
        <v>0</v>
      </c>
      <c r="AM31" s="1">
        <v>5.0204000000000004</v>
      </c>
      <c r="AN31">
        <v>2093800</v>
      </c>
      <c r="AO31">
        <v>8</v>
      </c>
      <c r="AP31">
        <v>147004.52211308299</v>
      </c>
      <c r="AQ31">
        <v>1E-3</v>
      </c>
      <c r="AR31" t="s">
        <v>52</v>
      </c>
      <c r="AS31" t="s">
        <v>106</v>
      </c>
    </row>
    <row r="32" spans="1:45" x14ac:dyDescent="0.2">
      <c r="A32" t="s">
        <v>107</v>
      </c>
      <c r="B32">
        <v>0</v>
      </c>
      <c r="C32">
        <v>1</v>
      </c>
      <c r="D32">
        <v>0</v>
      </c>
      <c r="E32">
        <v>0</v>
      </c>
      <c r="F32">
        <v>1E-3</v>
      </c>
      <c r="G32">
        <v>3</v>
      </c>
      <c r="H32">
        <v>4067.1833230000002</v>
      </c>
      <c r="I32">
        <v>1</v>
      </c>
      <c r="J32">
        <v>2839458552.9126</v>
      </c>
      <c r="K32">
        <v>30003797.416099999</v>
      </c>
      <c r="L32" s="1">
        <v>0.98939999999999995</v>
      </c>
      <c r="M32">
        <v>20292.816676999999</v>
      </c>
      <c r="N32">
        <v>7</v>
      </c>
      <c r="O32">
        <v>1200</v>
      </c>
      <c r="P32">
        <v>5.2686206896551697</v>
      </c>
      <c r="Q32">
        <v>5.2686206896551697</v>
      </c>
      <c r="R32">
        <v>0</v>
      </c>
      <c r="S32">
        <v>0</v>
      </c>
      <c r="T32">
        <v>1222.32</v>
      </c>
      <c r="U32">
        <v>232</v>
      </c>
      <c r="V32">
        <v>2025</v>
      </c>
      <c r="W32" s="2">
        <v>45714</v>
      </c>
      <c r="X32" s="2">
        <v>45520</v>
      </c>
      <c r="Y32" s="4">
        <f t="shared" si="0"/>
        <v>194</v>
      </c>
      <c r="Z32" t="s">
        <v>107</v>
      </c>
      <c r="AA32" t="s">
        <v>47</v>
      </c>
      <c r="AB32" t="s">
        <v>105</v>
      </c>
      <c r="AC32" t="s">
        <v>49</v>
      </c>
      <c r="AD32" t="s">
        <v>50</v>
      </c>
      <c r="AE32" t="s">
        <v>71</v>
      </c>
      <c r="AF32">
        <v>1</v>
      </c>
      <c r="AG32">
        <v>9.5238095238095195E-3</v>
      </c>
      <c r="AH32">
        <v>5.7521739130434701</v>
      </c>
      <c r="AI32">
        <v>5.2686206896551697</v>
      </c>
      <c r="AJ32">
        <v>8.4064430369849202E-2</v>
      </c>
      <c r="AK32" s="1">
        <v>1</v>
      </c>
      <c r="AL32">
        <v>0</v>
      </c>
      <c r="AM32" s="1">
        <v>4.9893999999999998</v>
      </c>
      <c r="AN32">
        <v>2104915</v>
      </c>
      <c r="AO32">
        <v>8</v>
      </c>
      <c r="AP32">
        <v>147004.52211308299</v>
      </c>
      <c r="AQ32">
        <v>1E-3</v>
      </c>
      <c r="AR32" t="s">
        <v>52</v>
      </c>
      <c r="AS32" t="s">
        <v>106</v>
      </c>
    </row>
    <row r="33" spans="1:45" x14ac:dyDescent="0.2">
      <c r="A33" t="s">
        <v>108</v>
      </c>
      <c r="B33">
        <v>0</v>
      </c>
      <c r="C33">
        <v>1</v>
      </c>
      <c r="D33">
        <v>0</v>
      </c>
      <c r="E33">
        <v>0</v>
      </c>
      <c r="F33">
        <v>1E-3</v>
      </c>
      <c r="G33">
        <v>1</v>
      </c>
      <c r="H33">
        <v>82160.125744000004</v>
      </c>
      <c r="I33">
        <v>1</v>
      </c>
      <c r="J33">
        <v>5988886057.3835001</v>
      </c>
      <c r="K33">
        <v>361509701.93959999</v>
      </c>
      <c r="L33" s="1">
        <v>0.93959999999999999</v>
      </c>
      <c r="M33">
        <v>97959.874255999996</v>
      </c>
      <c r="N33">
        <v>7</v>
      </c>
      <c r="O33">
        <v>1200</v>
      </c>
      <c r="P33">
        <v>9.1168687541638906</v>
      </c>
      <c r="Q33">
        <v>9.1168687541638906</v>
      </c>
      <c r="R33">
        <v>0</v>
      </c>
      <c r="S33">
        <v>0</v>
      </c>
      <c r="T33">
        <v>6842.21</v>
      </c>
      <c r="U33">
        <v>750.5</v>
      </c>
      <c r="V33">
        <v>2025</v>
      </c>
      <c r="W33" s="2">
        <v>45715</v>
      </c>
      <c r="X33" s="2">
        <v>45449</v>
      </c>
      <c r="Y33" s="4">
        <f t="shared" si="0"/>
        <v>266</v>
      </c>
      <c r="Z33" t="s">
        <v>108</v>
      </c>
      <c r="AA33" t="s">
        <v>47</v>
      </c>
      <c r="AB33" t="s">
        <v>109</v>
      </c>
      <c r="AC33" t="s">
        <v>49</v>
      </c>
      <c r="AD33" t="s">
        <v>50</v>
      </c>
      <c r="AE33" t="s">
        <v>71</v>
      </c>
      <c r="AF33">
        <v>1</v>
      </c>
      <c r="AG33">
        <v>4.1666666666666597E-3</v>
      </c>
      <c r="AH33">
        <v>9.9208810572687192</v>
      </c>
      <c r="AI33">
        <v>9.1168687541638906</v>
      </c>
      <c r="AJ33">
        <v>8.1042429443880598E-2</v>
      </c>
      <c r="AK33" s="1">
        <v>1</v>
      </c>
      <c r="AL33">
        <v>0</v>
      </c>
      <c r="AM33" s="1">
        <v>1.1922999999999999</v>
      </c>
      <c r="AN33">
        <v>2894840</v>
      </c>
      <c r="AO33">
        <v>6</v>
      </c>
      <c r="AP33">
        <v>67582.165125428495</v>
      </c>
      <c r="AQ33">
        <v>1E-3</v>
      </c>
      <c r="AR33" t="s">
        <v>52</v>
      </c>
      <c r="AS33" t="s">
        <v>110</v>
      </c>
    </row>
    <row r="34" spans="1:45" x14ac:dyDescent="0.2">
      <c r="A34" t="s">
        <v>111</v>
      </c>
      <c r="B34">
        <v>0</v>
      </c>
      <c r="C34">
        <v>1</v>
      </c>
      <c r="D34">
        <v>0</v>
      </c>
      <c r="E34">
        <v>0</v>
      </c>
      <c r="F34">
        <v>1E-3</v>
      </c>
      <c r="G34">
        <v>1</v>
      </c>
      <c r="H34">
        <v>30360.952380999999</v>
      </c>
      <c r="I34">
        <v>1</v>
      </c>
      <c r="J34">
        <v>6474433132.1796999</v>
      </c>
      <c r="K34">
        <v>79305552.023200005</v>
      </c>
      <c r="L34" s="1">
        <v>0.98780000000000001</v>
      </c>
      <c r="M34">
        <v>3254.0476189999999</v>
      </c>
      <c r="N34">
        <v>7</v>
      </c>
      <c r="O34">
        <v>6700</v>
      </c>
      <c r="P34">
        <v>0.95389822000297897</v>
      </c>
      <c r="Q34">
        <v>0.95389822000297897</v>
      </c>
      <c r="R34">
        <v>14701.71</v>
      </c>
      <c r="S34">
        <v>934.92899999999997</v>
      </c>
      <c r="T34">
        <v>2177.02</v>
      </c>
      <c r="U34">
        <v>2241</v>
      </c>
      <c r="V34">
        <v>2025</v>
      </c>
      <c r="W34" s="2">
        <v>45716</v>
      </c>
      <c r="X34" s="2">
        <v>45408</v>
      </c>
      <c r="Y34" s="4">
        <f t="shared" si="0"/>
        <v>308</v>
      </c>
      <c r="Z34" t="s">
        <v>111</v>
      </c>
      <c r="AA34" t="s">
        <v>47</v>
      </c>
      <c r="AB34" t="s">
        <v>112</v>
      </c>
      <c r="AC34" t="s">
        <v>49</v>
      </c>
      <c r="AD34" t="s">
        <v>50</v>
      </c>
      <c r="AE34" t="s">
        <v>71</v>
      </c>
      <c r="AF34">
        <v>1</v>
      </c>
      <c r="AG34">
        <v>6.6666666666666596E-2</v>
      </c>
      <c r="AH34">
        <v>0.98336532693461298</v>
      </c>
      <c r="AI34">
        <v>0.97145024542614899</v>
      </c>
      <c r="AJ34">
        <v>2.9965574466093801E-2</v>
      </c>
      <c r="AK34" s="1">
        <v>0.40439999999999998</v>
      </c>
      <c r="AL34">
        <v>0.43735564480142702</v>
      </c>
      <c r="AM34" s="1">
        <v>0.1072</v>
      </c>
      <c r="AN34">
        <v>8303855</v>
      </c>
      <c r="AO34">
        <v>4</v>
      </c>
      <c r="AP34">
        <v>63019.127604199901</v>
      </c>
      <c r="AQ34">
        <v>1E-3</v>
      </c>
      <c r="AR34" t="s">
        <v>52</v>
      </c>
      <c r="AS34" t="s">
        <v>113</v>
      </c>
    </row>
    <row r="35" spans="1:45" x14ac:dyDescent="0.2">
      <c r="A35" t="s">
        <v>114</v>
      </c>
      <c r="B35">
        <v>0</v>
      </c>
      <c r="C35">
        <v>1</v>
      </c>
      <c r="D35">
        <v>0</v>
      </c>
      <c r="E35">
        <v>0</v>
      </c>
      <c r="F35">
        <v>1E-3</v>
      </c>
      <c r="G35">
        <v>2</v>
      </c>
      <c r="H35">
        <v>47304.6875</v>
      </c>
      <c r="I35">
        <v>1</v>
      </c>
      <c r="J35">
        <v>2067516834.5084</v>
      </c>
      <c r="K35">
        <v>134502539.78299999</v>
      </c>
      <c r="L35" s="1">
        <v>0.93489999999999995</v>
      </c>
      <c r="M35">
        <v>30898.4375</v>
      </c>
      <c r="N35">
        <v>7</v>
      </c>
      <c r="O35">
        <v>890</v>
      </c>
      <c r="P35">
        <v>4.3048763796909402</v>
      </c>
      <c r="Q35">
        <v>4.3048763796909402</v>
      </c>
      <c r="R35">
        <v>35390.625</v>
      </c>
      <c r="S35">
        <v>1950.1089999999999</v>
      </c>
      <c r="T35">
        <v>4399.5</v>
      </c>
      <c r="U35">
        <v>1001</v>
      </c>
      <c r="V35">
        <v>2025</v>
      </c>
      <c r="W35" s="2">
        <v>45717</v>
      </c>
      <c r="X35" s="2">
        <v>45373</v>
      </c>
      <c r="Y35" s="4">
        <f t="shared" si="0"/>
        <v>344</v>
      </c>
      <c r="Z35" t="s">
        <v>114</v>
      </c>
      <c r="AA35" t="s">
        <v>47</v>
      </c>
      <c r="AB35" t="s">
        <v>115</v>
      </c>
      <c r="AC35" t="s">
        <v>49</v>
      </c>
      <c r="AD35" t="s">
        <v>50</v>
      </c>
      <c r="AE35" t="s">
        <v>116</v>
      </c>
      <c r="AF35">
        <v>1</v>
      </c>
      <c r="AG35">
        <v>1.2800000000000001E-2</v>
      </c>
      <c r="AH35">
        <v>4.73233366109472</v>
      </c>
      <c r="AI35">
        <v>4.3951048951048897</v>
      </c>
      <c r="AJ35">
        <v>9.0326953257325898E-2</v>
      </c>
      <c r="AK35" s="1">
        <v>0.78890000000000005</v>
      </c>
      <c r="AL35">
        <v>0.45254745254745199</v>
      </c>
      <c r="AM35" s="1">
        <v>0.6532</v>
      </c>
      <c r="AN35">
        <v>1181760</v>
      </c>
      <c r="AO35">
        <v>3</v>
      </c>
      <c r="AP35">
        <v>223586.250347058</v>
      </c>
      <c r="AQ35">
        <v>1E-3</v>
      </c>
      <c r="AR35" t="s">
        <v>52</v>
      </c>
      <c r="AS35" t="s">
        <v>117</v>
      </c>
    </row>
    <row r="36" spans="1:45" x14ac:dyDescent="0.2">
      <c r="A36" t="s">
        <v>118</v>
      </c>
      <c r="B36">
        <v>0</v>
      </c>
      <c r="C36">
        <v>1</v>
      </c>
      <c r="D36">
        <v>0</v>
      </c>
      <c r="E36">
        <v>0</v>
      </c>
      <c r="F36">
        <v>1E-3</v>
      </c>
      <c r="G36">
        <v>2</v>
      </c>
      <c r="H36">
        <v>33242.1875</v>
      </c>
      <c r="I36">
        <v>1</v>
      </c>
      <c r="J36">
        <v>2457135930.6564999</v>
      </c>
      <c r="K36">
        <v>515473227.19389999</v>
      </c>
      <c r="L36" s="1">
        <v>0.79020000000000001</v>
      </c>
      <c r="M36">
        <v>16835.9375</v>
      </c>
      <c r="N36">
        <v>7</v>
      </c>
      <c r="O36">
        <v>890</v>
      </c>
      <c r="P36">
        <v>4.05288205128205</v>
      </c>
      <c r="Q36">
        <v>4.05288205128205</v>
      </c>
      <c r="R36">
        <v>7617.1875</v>
      </c>
      <c r="S36">
        <v>395.15600000000001</v>
      </c>
      <c r="T36">
        <v>2743.61</v>
      </c>
      <c r="U36">
        <v>641</v>
      </c>
      <c r="V36">
        <v>2024</v>
      </c>
      <c r="W36" s="2">
        <v>45353</v>
      </c>
      <c r="X36" s="2">
        <v>45320</v>
      </c>
      <c r="Y36" s="4">
        <f t="shared" si="0"/>
        <v>33</v>
      </c>
      <c r="Z36" t="s">
        <v>118</v>
      </c>
      <c r="AA36" t="s">
        <v>47</v>
      </c>
      <c r="AB36" t="s">
        <v>115</v>
      </c>
      <c r="AC36" t="s">
        <v>49</v>
      </c>
      <c r="AD36" t="s">
        <v>50</v>
      </c>
      <c r="AE36" t="s">
        <v>116</v>
      </c>
      <c r="AF36">
        <v>1</v>
      </c>
      <c r="AG36">
        <v>1.2800000000000001E-2</v>
      </c>
      <c r="AH36">
        <v>4.6102938706968901</v>
      </c>
      <c r="AI36">
        <v>4.2802028081123202</v>
      </c>
      <c r="AJ36">
        <v>0.120905919459443</v>
      </c>
      <c r="AK36" s="1">
        <v>0.59219999999999995</v>
      </c>
      <c r="AL36">
        <v>0.15210608424336899</v>
      </c>
      <c r="AM36" s="1">
        <v>0.50649999999999995</v>
      </c>
      <c r="AN36">
        <v>1349040</v>
      </c>
      <c r="AO36">
        <v>4</v>
      </c>
      <c r="AP36">
        <v>223586.250347058</v>
      </c>
      <c r="AQ36">
        <v>1E-3</v>
      </c>
      <c r="AR36" t="s">
        <v>52</v>
      </c>
      <c r="AS36" t="s">
        <v>117</v>
      </c>
    </row>
    <row r="37" spans="1:45" x14ac:dyDescent="0.2">
      <c r="A37" t="s">
        <v>119</v>
      </c>
      <c r="B37">
        <v>0</v>
      </c>
      <c r="C37">
        <v>1</v>
      </c>
      <c r="D37">
        <v>0</v>
      </c>
      <c r="E37">
        <v>0</v>
      </c>
      <c r="F37">
        <v>1E-3</v>
      </c>
      <c r="G37">
        <v>2</v>
      </c>
      <c r="H37">
        <v>20273.4375</v>
      </c>
      <c r="I37">
        <v>1</v>
      </c>
      <c r="J37">
        <v>1866745742.2756</v>
      </c>
      <c r="K37">
        <v>88349261.258900002</v>
      </c>
      <c r="L37" s="1">
        <v>0.95269999999999999</v>
      </c>
      <c r="M37">
        <v>3867.1875</v>
      </c>
      <c r="N37">
        <v>7</v>
      </c>
      <c r="O37">
        <v>890</v>
      </c>
      <c r="P37">
        <v>4.3947896440129401</v>
      </c>
      <c r="Q37">
        <v>4.3947896440129401</v>
      </c>
      <c r="R37">
        <v>0</v>
      </c>
      <c r="S37">
        <v>0</v>
      </c>
      <c r="T37">
        <v>1357.99</v>
      </c>
      <c r="U37">
        <v>309</v>
      </c>
      <c r="V37">
        <v>2024</v>
      </c>
      <c r="W37" s="2">
        <v>45719</v>
      </c>
      <c r="X37" s="2">
        <v>45387</v>
      </c>
      <c r="Y37" s="4">
        <f t="shared" si="0"/>
        <v>332</v>
      </c>
      <c r="Z37" t="s">
        <v>119</v>
      </c>
      <c r="AA37" t="s">
        <v>47</v>
      </c>
      <c r="AB37" t="s">
        <v>115</v>
      </c>
      <c r="AC37" t="s">
        <v>49</v>
      </c>
      <c r="AD37" t="s">
        <v>50</v>
      </c>
      <c r="AE37" t="s">
        <v>116</v>
      </c>
      <c r="AF37">
        <v>1</v>
      </c>
      <c r="AG37">
        <v>1.2800000000000001E-2</v>
      </c>
      <c r="AH37">
        <v>4.6062381016221998</v>
      </c>
      <c r="AI37">
        <v>4.3947896440129401</v>
      </c>
      <c r="AJ37">
        <v>4.5904804081836302E-2</v>
      </c>
      <c r="AK37" s="1">
        <v>1</v>
      </c>
      <c r="AL37">
        <v>0</v>
      </c>
      <c r="AM37" s="1">
        <v>0.1908</v>
      </c>
      <c r="AN37">
        <v>1470160</v>
      </c>
      <c r="AO37">
        <v>4</v>
      </c>
      <c r="AP37">
        <v>223586.250347058</v>
      </c>
      <c r="AQ37">
        <v>1E-3</v>
      </c>
      <c r="AR37" t="s">
        <v>52</v>
      </c>
      <c r="AS37" t="s">
        <v>117</v>
      </c>
    </row>
    <row r="38" spans="1:45" x14ac:dyDescent="0.2">
      <c r="A38" t="s">
        <v>120</v>
      </c>
      <c r="B38">
        <v>0</v>
      </c>
      <c r="C38">
        <v>1</v>
      </c>
      <c r="D38">
        <v>0</v>
      </c>
      <c r="E38">
        <v>0</v>
      </c>
      <c r="F38">
        <v>1E-3</v>
      </c>
      <c r="G38">
        <v>2</v>
      </c>
      <c r="H38">
        <v>4402.5912870000002</v>
      </c>
      <c r="I38">
        <v>1</v>
      </c>
      <c r="J38">
        <v>887806094.00530005</v>
      </c>
      <c r="K38">
        <v>35135597.623199999</v>
      </c>
      <c r="L38" s="1">
        <v>0.96040000000000003</v>
      </c>
      <c r="M38">
        <v>14894.283713000001</v>
      </c>
      <c r="N38">
        <v>14</v>
      </c>
      <c r="O38">
        <v>890</v>
      </c>
      <c r="P38">
        <v>4.28797570850202</v>
      </c>
      <c r="Q38">
        <v>4.28797570850202</v>
      </c>
      <c r="R38">
        <v>0</v>
      </c>
      <c r="S38">
        <v>0</v>
      </c>
      <c r="T38">
        <v>1059.1300000000001</v>
      </c>
      <c r="U38">
        <v>247</v>
      </c>
      <c r="V38">
        <v>2024</v>
      </c>
      <c r="W38" s="2">
        <v>45720</v>
      </c>
      <c r="X38" s="2">
        <v>45576</v>
      </c>
      <c r="Y38" s="4">
        <f t="shared" si="0"/>
        <v>144</v>
      </c>
      <c r="Z38" t="s">
        <v>120</v>
      </c>
      <c r="AA38" t="s">
        <v>47</v>
      </c>
      <c r="AB38" t="s">
        <v>115</v>
      </c>
      <c r="AC38" t="s">
        <v>49</v>
      </c>
      <c r="AD38" t="s">
        <v>50</v>
      </c>
      <c r="AE38" t="s">
        <v>116</v>
      </c>
      <c r="AF38">
        <v>1</v>
      </c>
      <c r="AG38">
        <v>1.2800000000000001E-2</v>
      </c>
      <c r="AH38">
        <v>4.6184210526315699</v>
      </c>
      <c r="AI38">
        <v>4.28797570850202</v>
      </c>
      <c r="AJ38">
        <v>7.1549419241726794E-2</v>
      </c>
      <c r="AK38" s="1">
        <v>1</v>
      </c>
      <c r="AL38">
        <v>0</v>
      </c>
      <c r="AM38" s="1">
        <v>3.3831000000000002</v>
      </c>
      <c r="AN38">
        <v>1326960</v>
      </c>
      <c r="AO38">
        <v>10</v>
      </c>
      <c r="AP38">
        <v>223586.250347058</v>
      </c>
      <c r="AQ38">
        <v>1E-3</v>
      </c>
      <c r="AR38" t="s">
        <v>52</v>
      </c>
      <c r="AS38" t="s">
        <v>117</v>
      </c>
    </row>
    <row r="39" spans="1:45" x14ac:dyDescent="0.2">
      <c r="A39" t="s">
        <v>121</v>
      </c>
      <c r="B39">
        <v>0</v>
      </c>
      <c r="C39">
        <v>1</v>
      </c>
      <c r="D39">
        <v>0</v>
      </c>
      <c r="E39">
        <v>0</v>
      </c>
      <c r="F39">
        <v>1E-3</v>
      </c>
      <c r="G39">
        <v>4</v>
      </c>
      <c r="H39">
        <v>6587924.6964290002</v>
      </c>
      <c r="I39">
        <v>1</v>
      </c>
      <c r="J39">
        <v>2067516834.5084</v>
      </c>
      <c r="K39">
        <v>134502539.78299999</v>
      </c>
      <c r="L39" s="1">
        <v>0.93489999999999995</v>
      </c>
      <c r="M39">
        <v>3204184.6785710002</v>
      </c>
      <c r="N39">
        <v>14</v>
      </c>
      <c r="O39">
        <v>890</v>
      </c>
      <c r="P39">
        <v>4.5832246603857802</v>
      </c>
      <c r="Q39">
        <v>4.5832246603857802</v>
      </c>
      <c r="R39">
        <v>6652288.0470000003</v>
      </c>
      <c r="S39">
        <v>390258.31199999998</v>
      </c>
      <c r="T39">
        <v>581784.79</v>
      </c>
      <c r="U39">
        <v>125339</v>
      </c>
      <c r="V39">
        <v>2024</v>
      </c>
      <c r="W39" s="2">
        <v>45721</v>
      </c>
      <c r="X39" s="2">
        <v>45373</v>
      </c>
      <c r="Y39" s="4">
        <f t="shared" si="0"/>
        <v>348</v>
      </c>
      <c r="Z39" t="s">
        <v>121</v>
      </c>
      <c r="AA39" t="s">
        <v>47</v>
      </c>
      <c r="AB39" t="s">
        <v>122</v>
      </c>
      <c r="AC39" t="s">
        <v>49</v>
      </c>
      <c r="AD39" t="s">
        <v>50</v>
      </c>
      <c r="AE39" t="s">
        <v>116</v>
      </c>
      <c r="AF39">
        <v>1</v>
      </c>
      <c r="AG39">
        <v>1.2800000000000001E-2</v>
      </c>
      <c r="AH39">
        <v>4.76856574740727</v>
      </c>
      <c r="AI39">
        <v>4.6416900565665902</v>
      </c>
      <c r="AJ39">
        <v>3.8867260480209997E-2</v>
      </c>
      <c r="AK39" s="1">
        <v>0.68459999999999999</v>
      </c>
      <c r="AL39">
        <v>0.67935189367714699</v>
      </c>
      <c r="AM39" s="1">
        <v>0.4864</v>
      </c>
      <c r="AN39">
        <v>1070254.3999999999</v>
      </c>
      <c r="AO39">
        <v>3</v>
      </c>
      <c r="AP39">
        <v>4207464.1927287905</v>
      </c>
      <c r="AQ39">
        <v>1E-3</v>
      </c>
      <c r="AR39" t="s">
        <v>52</v>
      </c>
      <c r="AS39" t="s">
        <v>123</v>
      </c>
    </row>
    <row r="40" spans="1:45" x14ac:dyDescent="0.2">
      <c r="A40" t="s">
        <v>124</v>
      </c>
      <c r="B40">
        <v>0</v>
      </c>
      <c r="C40">
        <v>1</v>
      </c>
      <c r="D40">
        <v>0</v>
      </c>
      <c r="E40">
        <v>0</v>
      </c>
      <c r="F40">
        <v>1E-3</v>
      </c>
      <c r="G40">
        <v>4</v>
      </c>
      <c r="H40">
        <v>4184409.1964289998</v>
      </c>
      <c r="I40">
        <v>1</v>
      </c>
      <c r="J40">
        <v>1866745742.2756</v>
      </c>
      <c r="K40">
        <v>88349261.258900002</v>
      </c>
      <c r="L40" s="1">
        <v>0.95269999999999999</v>
      </c>
      <c r="M40">
        <v>800668.928571</v>
      </c>
      <c r="N40">
        <v>14</v>
      </c>
      <c r="O40">
        <v>890</v>
      </c>
      <c r="P40">
        <v>4.3487905593162699</v>
      </c>
      <c r="Q40">
        <v>4.3487905593162699</v>
      </c>
      <c r="R40">
        <v>1907993.8281</v>
      </c>
      <c r="S40">
        <v>106207.55899999999</v>
      </c>
      <c r="T40">
        <v>294261.92</v>
      </c>
      <c r="U40">
        <v>63809</v>
      </c>
      <c r="V40">
        <v>2024</v>
      </c>
      <c r="W40" s="2">
        <v>45722</v>
      </c>
      <c r="X40" s="2">
        <v>45387</v>
      </c>
      <c r="Y40" s="4">
        <f t="shared" si="0"/>
        <v>335</v>
      </c>
      <c r="Z40" t="s">
        <v>124</v>
      </c>
      <c r="AA40" t="s">
        <v>47</v>
      </c>
      <c r="AB40" t="s">
        <v>122</v>
      </c>
      <c r="AC40" t="s">
        <v>49</v>
      </c>
      <c r="AD40" t="s">
        <v>50</v>
      </c>
      <c r="AE40" t="s">
        <v>116</v>
      </c>
      <c r="AF40">
        <v>1</v>
      </c>
      <c r="AG40">
        <v>1.2800000000000001E-2</v>
      </c>
      <c r="AH40">
        <v>4.76856574740727</v>
      </c>
      <c r="AI40">
        <v>4.6116052594461499</v>
      </c>
      <c r="AJ40">
        <v>8.8029653008188699E-2</v>
      </c>
      <c r="AK40" s="1">
        <v>0.37390000000000001</v>
      </c>
      <c r="AL40">
        <v>0.382741008316695</v>
      </c>
      <c r="AM40" s="1">
        <v>0.1913</v>
      </c>
      <c r="AN40">
        <v>1038559.2</v>
      </c>
      <c r="AO40">
        <v>4</v>
      </c>
      <c r="AP40">
        <v>4207464.1927287905</v>
      </c>
      <c r="AQ40">
        <v>1E-3</v>
      </c>
      <c r="AR40" t="s">
        <v>52</v>
      </c>
      <c r="AS40" t="s">
        <v>123</v>
      </c>
    </row>
    <row r="41" spans="1:45" x14ac:dyDescent="0.2">
      <c r="A41" t="s">
        <v>125</v>
      </c>
      <c r="B41">
        <v>0</v>
      </c>
      <c r="C41">
        <v>1</v>
      </c>
      <c r="D41">
        <v>0</v>
      </c>
      <c r="E41">
        <v>0</v>
      </c>
      <c r="F41">
        <v>1E-3</v>
      </c>
      <c r="G41">
        <v>4</v>
      </c>
      <c r="H41">
        <v>4748315.4464290002</v>
      </c>
      <c r="I41">
        <v>1</v>
      </c>
      <c r="J41">
        <v>1897579029.6930001</v>
      </c>
      <c r="K41">
        <v>279308461.28670001</v>
      </c>
      <c r="L41" s="1">
        <v>0.8528</v>
      </c>
      <c r="M41">
        <v>1364575.17857099</v>
      </c>
      <c r="N41">
        <v>14</v>
      </c>
      <c r="O41">
        <v>890</v>
      </c>
      <c r="P41">
        <v>4.3411139514088397</v>
      </c>
      <c r="Q41">
        <v>4.3411139514088397</v>
      </c>
      <c r="R41">
        <v>3376542.5781999999</v>
      </c>
      <c r="S41">
        <v>187621.83799999999</v>
      </c>
      <c r="T41">
        <v>355564.64</v>
      </c>
      <c r="U41">
        <v>78245</v>
      </c>
      <c r="V41">
        <v>2024</v>
      </c>
      <c r="W41" s="2">
        <v>45723</v>
      </c>
      <c r="X41" s="2">
        <v>45394</v>
      </c>
      <c r="Y41" s="4">
        <f t="shared" si="0"/>
        <v>329</v>
      </c>
      <c r="Z41" t="s">
        <v>125</v>
      </c>
      <c r="AA41" t="s">
        <v>47</v>
      </c>
      <c r="AB41" t="s">
        <v>122</v>
      </c>
      <c r="AC41" t="s">
        <v>49</v>
      </c>
      <c r="AD41" t="s">
        <v>50</v>
      </c>
      <c r="AE41" t="s">
        <v>116</v>
      </c>
      <c r="AF41">
        <v>1</v>
      </c>
      <c r="AG41">
        <v>1.2800000000000001E-2</v>
      </c>
      <c r="AH41">
        <v>4.76856574740727</v>
      </c>
      <c r="AI41">
        <v>4.5442474279506602</v>
      </c>
      <c r="AJ41">
        <v>8.9639488819220098E-2</v>
      </c>
      <c r="AK41" s="1">
        <v>0.52480000000000004</v>
      </c>
      <c r="AL41">
        <v>0.55236430444066698</v>
      </c>
      <c r="AM41" s="1">
        <v>0.28739999999999999</v>
      </c>
      <c r="AN41">
        <v>943819.2</v>
      </c>
      <c r="AO41">
        <v>4</v>
      </c>
      <c r="AP41">
        <v>4207464.1927287905</v>
      </c>
      <c r="AQ41">
        <v>1E-3</v>
      </c>
      <c r="AR41" t="s">
        <v>52</v>
      </c>
      <c r="AS41" t="s">
        <v>123</v>
      </c>
    </row>
    <row r="42" spans="1:45" x14ac:dyDescent="0.2">
      <c r="A42" t="s">
        <v>126</v>
      </c>
      <c r="B42">
        <v>0</v>
      </c>
      <c r="C42">
        <v>1</v>
      </c>
      <c r="D42">
        <v>0</v>
      </c>
      <c r="E42">
        <v>0</v>
      </c>
      <c r="F42">
        <v>1E-3</v>
      </c>
      <c r="G42">
        <v>4</v>
      </c>
      <c r="H42">
        <v>5065174.9464290002</v>
      </c>
      <c r="I42">
        <v>1</v>
      </c>
      <c r="J42">
        <v>4053134863.1030998</v>
      </c>
      <c r="K42">
        <v>214928641.08950001</v>
      </c>
      <c r="L42" s="1">
        <v>0.94699999999999995</v>
      </c>
      <c r="M42">
        <v>1860684.428571</v>
      </c>
      <c r="N42">
        <v>14</v>
      </c>
      <c r="O42">
        <v>890</v>
      </c>
      <c r="P42">
        <v>4.3317911748424196</v>
      </c>
      <c r="Q42">
        <v>4.3317911748424196</v>
      </c>
      <c r="R42">
        <v>4139422.8906999999</v>
      </c>
      <c r="S42">
        <v>229518.27900000001</v>
      </c>
      <c r="T42">
        <v>398346.83</v>
      </c>
      <c r="U42">
        <v>88651</v>
      </c>
      <c r="V42">
        <v>2024</v>
      </c>
      <c r="W42" s="2">
        <v>45724</v>
      </c>
      <c r="X42" s="2">
        <v>45401</v>
      </c>
      <c r="Y42" s="4">
        <f t="shared" si="0"/>
        <v>323</v>
      </c>
      <c r="Z42" t="s">
        <v>126</v>
      </c>
      <c r="AA42" t="s">
        <v>47</v>
      </c>
      <c r="AB42" t="s">
        <v>122</v>
      </c>
      <c r="AC42" t="s">
        <v>49</v>
      </c>
      <c r="AD42" t="s">
        <v>50</v>
      </c>
      <c r="AE42" t="s">
        <v>116</v>
      </c>
      <c r="AF42">
        <v>1</v>
      </c>
      <c r="AG42">
        <v>1.2800000000000001E-2</v>
      </c>
      <c r="AH42">
        <v>4.7641282949616199</v>
      </c>
      <c r="AI42">
        <v>4.4934273725056597</v>
      </c>
      <c r="AJ42">
        <v>9.0748420981110495E-2</v>
      </c>
      <c r="AK42" s="1">
        <v>0.62609999999999999</v>
      </c>
      <c r="AL42">
        <v>0.59767642780070096</v>
      </c>
      <c r="AM42" s="1">
        <v>0.36730000000000002</v>
      </c>
      <c r="AN42">
        <v>856630.4</v>
      </c>
      <c r="AO42">
        <v>4</v>
      </c>
      <c r="AP42">
        <v>4207464.1927287905</v>
      </c>
      <c r="AQ42">
        <v>1E-3</v>
      </c>
      <c r="AR42" t="s">
        <v>52</v>
      </c>
      <c r="AS42" t="s">
        <v>123</v>
      </c>
    </row>
    <row r="43" spans="1:45" x14ac:dyDescent="0.2">
      <c r="A43" t="s">
        <v>127</v>
      </c>
      <c r="B43">
        <v>0</v>
      </c>
      <c r="C43">
        <v>1</v>
      </c>
      <c r="D43">
        <v>0</v>
      </c>
      <c r="E43">
        <v>0</v>
      </c>
      <c r="F43">
        <v>1E-3</v>
      </c>
      <c r="G43">
        <v>4</v>
      </c>
      <c r="H43">
        <v>4831167.1964290002</v>
      </c>
      <c r="I43">
        <v>1</v>
      </c>
      <c r="J43">
        <v>6474433132.1796999</v>
      </c>
      <c r="K43">
        <v>79305552.023200005</v>
      </c>
      <c r="L43" s="1">
        <v>0.98780000000000001</v>
      </c>
      <c r="M43">
        <v>1447426.55357099</v>
      </c>
      <c r="N43">
        <v>14</v>
      </c>
      <c r="O43">
        <v>890</v>
      </c>
      <c r="P43">
        <v>4.2566199442678396</v>
      </c>
      <c r="Q43">
        <v>4.2566199442678396</v>
      </c>
      <c r="R43">
        <v>2689027.3437000001</v>
      </c>
      <c r="S43">
        <v>146510.943</v>
      </c>
      <c r="T43">
        <v>370833.63</v>
      </c>
      <c r="U43">
        <v>80366</v>
      </c>
      <c r="V43">
        <v>2024</v>
      </c>
      <c r="W43" s="2">
        <v>45725</v>
      </c>
      <c r="X43" s="2">
        <v>45408</v>
      </c>
      <c r="Y43" s="4">
        <f t="shared" si="0"/>
        <v>317</v>
      </c>
      <c r="Z43" t="s">
        <v>127</v>
      </c>
      <c r="AA43" t="s">
        <v>47</v>
      </c>
      <c r="AB43" t="s">
        <v>122</v>
      </c>
      <c r="AC43" t="s">
        <v>49</v>
      </c>
      <c r="AD43" t="s">
        <v>50</v>
      </c>
      <c r="AE43" t="s">
        <v>116</v>
      </c>
      <c r="AF43">
        <v>1</v>
      </c>
      <c r="AG43">
        <v>1.2800000000000001E-2</v>
      </c>
      <c r="AH43">
        <v>4.75901535093434</v>
      </c>
      <c r="AI43">
        <v>4.61430990717467</v>
      </c>
      <c r="AJ43">
        <v>0.10556709100925001</v>
      </c>
      <c r="AK43" s="1">
        <v>0.28799999999999998</v>
      </c>
      <c r="AL43">
        <v>0.42828497124853698</v>
      </c>
      <c r="AM43" s="1">
        <v>0.29959999999999998</v>
      </c>
      <c r="AN43">
        <v>913437.6</v>
      </c>
      <c r="AO43">
        <v>4</v>
      </c>
      <c r="AP43">
        <v>4207464.1927287905</v>
      </c>
      <c r="AQ43">
        <v>1E-3</v>
      </c>
      <c r="AR43" t="s">
        <v>52</v>
      </c>
      <c r="AS43" t="s">
        <v>123</v>
      </c>
    </row>
    <row r="44" spans="1:45" x14ac:dyDescent="0.2">
      <c r="A44" t="s">
        <v>128</v>
      </c>
      <c r="B44">
        <v>0</v>
      </c>
      <c r="C44">
        <v>1</v>
      </c>
      <c r="D44">
        <v>0</v>
      </c>
      <c r="E44">
        <v>0</v>
      </c>
      <c r="F44">
        <v>1E-3</v>
      </c>
      <c r="G44">
        <v>4</v>
      </c>
      <c r="H44">
        <v>4243940.4464290002</v>
      </c>
      <c r="I44">
        <v>1</v>
      </c>
      <c r="J44">
        <v>6238718577.5600996</v>
      </c>
      <c r="K44">
        <v>480412383.29049999</v>
      </c>
      <c r="L44" s="1">
        <v>0.92300000000000004</v>
      </c>
      <c r="M44">
        <v>860200.17857099895</v>
      </c>
      <c r="N44">
        <v>14</v>
      </c>
      <c r="O44">
        <v>2300</v>
      </c>
      <c r="P44">
        <v>4.2941268145923202</v>
      </c>
      <c r="Q44">
        <v>4.2941268145923202</v>
      </c>
      <c r="R44">
        <v>2979653.0469</v>
      </c>
      <c r="S44">
        <v>163776.103</v>
      </c>
      <c r="T44">
        <v>293480.96999999997</v>
      </c>
      <c r="U44">
        <v>65333</v>
      </c>
      <c r="V44">
        <v>2024</v>
      </c>
      <c r="W44" s="2">
        <v>45726</v>
      </c>
      <c r="X44" s="2">
        <v>45422</v>
      </c>
      <c r="Y44" s="4">
        <f t="shared" si="0"/>
        <v>304</v>
      </c>
      <c r="Z44" t="s">
        <v>128</v>
      </c>
      <c r="AA44" t="s">
        <v>47</v>
      </c>
      <c r="AB44" t="s">
        <v>122</v>
      </c>
      <c r="AC44" t="s">
        <v>49</v>
      </c>
      <c r="AD44" t="s">
        <v>50</v>
      </c>
      <c r="AE44" t="s">
        <v>116</v>
      </c>
      <c r="AF44">
        <v>1</v>
      </c>
      <c r="AG44">
        <v>1.2800000000000001E-2</v>
      </c>
      <c r="AH44">
        <v>4.6921136415321101</v>
      </c>
      <c r="AI44">
        <v>4.4920785820335798</v>
      </c>
      <c r="AJ44">
        <v>8.48203725112332E-2</v>
      </c>
      <c r="AK44" s="1">
        <v>0.50260000000000005</v>
      </c>
      <c r="AL44">
        <v>0.58377173863621701</v>
      </c>
      <c r="AM44" s="1">
        <v>0.20269999999999999</v>
      </c>
      <c r="AN44">
        <v>1809325.6</v>
      </c>
      <c r="AO44">
        <v>5</v>
      </c>
      <c r="AP44">
        <v>4207464.1927287905</v>
      </c>
      <c r="AQ44">
        <v>1E-3</v>
      </c>
      <c r="AR44" t="s">
        <v>52</v>
      </c>
      <c r="AS44" t="s">
        <v>123</v>
      </c>
    </row>
    <row r="45" spans="1:45" x14ac:dyDescent="0.2">
      <c r="A45" t="s">
        <v>129</v>
      </c>
      <c r="B45">
        <v>0</v>
      </c>
      <c r="C45">
        <v>1</v>
      </c>
      <c r="D45">
        <v>0</v>
      </c>
      <c r="E45">
        <v>0</v>
      </c>
      <c r="F45">
        <v>1E-3</v>
      </c>
      <c r="G45">
        <v>4</v>
      </c>
      <c r="H45">
        <v>4128510.6964289998</v>
      </c>
      <c r="I45">
        <v>1</v>
      </c>
      <c r="J45">
        <v>2278398937.619</v>
      </c>
      <c r="K45">
        <v>97746723.355199993</v>
      </c>
      <c r="L45" s="1">
        <v>0.95709999999999995</v>
      </c>
      <c r="M45">
        <v>744770.553571</v>
      </c>
      <c r="N45">
        <v>14</v>
      </c>
      <c r="O45">
        <v>2300</v>
      </c>
      <c r="P45">
        <v>4.2768062751024498</v>
      </c>
      <c r="Q45">
        <v>4.2768062751024498</v>
      </c>
      <c r="R45">
        <v>2459686.7187999999</v>
      </c>
      <c r="S45">
        <v>134650.92600000001</v>
      </c>
      <c r="T45">
        <v>279741.21000000002</v>
      </c>
      <c r="U45">
        <v>62378</v>
      </c>
      <c r="V45">
        <v>2024</v>
      </c>
      <c r="W45" s="2">
        <v>45727</v>
      </c>
      <c r="X45" s="2">
        <v>45429</v>
      </c>
      <c r="Y45" s="4">
        <f t="shared" si="0"/>
        <v>298</v>
      </c>
      <c r="Z45" t="s">
        <v>129</v>
      </c>
      <c r="AA45" t="s">
        <v>47</v>
      </c>
      <c r="AB45" t="s">
        <v>122</v>
      </c>
      <c r="AC45" t="s">
        <v>49</v>
      </c>
      <c r="AD45" t="s">
        <v>50</v>
      </c>
      <c r="AE45" t="s">
        <v>116</v>
      </c>
      <c r="AF45">
        <v>1</v>
      </c>
      <c r="AG45">
        <v>1.2800000000000001E-2</v>
      </c>
      <c r="AH45">
        <v>4.6416900565665902</v>
      </c>
      <c r="AI45">
        <v>4.4846133252108098</v>
      </c>
      <c r="AJ45">
        <v>7.8610113346094607E-2</v>
      </c>
      <c r="AK45" s="1">
        <v>0.43049999999999999</v>
      </c>
      <c r="AL45">
        <v>0.50472907115713805</v>
      </c>
      <c r="AM45" s="1">
        <v>0.1804</v>
      </c>
      <c r="AN45">
        <v>966327.2</v>
      </c>
      <c r="AO45">
        <v>5</v>
      </c>
      <c r="AP45">
        <v>4207464.1927287905</v>
      </c>
      <c r="AQ45">
        <v>1E-3</v>
      </c>
      <c r="AR45" t="s">
        <v>52</v>
      </c>
      <c r="AS45" t="s">
        <v>123</v>
      </c>
    </row>
    <row r="46" spans="1:45" x14ac:dyDescent="0.2">
      <c r="A46" t="s">
        <v>130</v>
      </c>
      <c r="B46">
        <v>0</v>
      </c>
      <c r="C46">
        <v>1</v>
      </c>
      <c r="D46">
        <v>0</v>
      </c>
      <c r="E46">
        <v>0</v>
      </c>
      <c r="F46">
        <v>1E-3</v>
      </c>
      <c r="G46">
        <v>4</v>
      </c>
      <c r="H46">
        <v>3952846.6964289998</v>
      </c>
      <c r="I46">
        <v>1</v>
      </c>
      <c r="J46">
        <v>4360807447.0368996</v>
      </c>
      <c r="K46">
        <v>146153392.1374</v>
      </c>
      <c r="L46" s="1">
        <v>0.96650000000000003</v>
      </c>
      <c r="M46">
        <v>569106.428571</v>
      </c>
      <c r="N46">
        <v>14</v>
      </c>
      <c r="O46">
        <v>2300</v>
      </c>
      <c r="P46">
        <v>4.2918696971460299</v>
      </c>
      <c r="Q46">
        <v>4.2918696971460299</v>
      </c>
      <c r="R46">
        <v>2185696.5625</v>
      </c>
      <c r="S46">
        <v>120073.27800000001</v>
      </c>
      <c r="T46">
        <v>260297.8</v>
      </c>
      <c r="U46">
        <v>57881</v>
      </c>
      <c r="V46">
        <v>2024</v>
      </c>
      <c r="W46" s="2">
        <v>45728</v>
      </c>
      <c r="X46" s="2">
        <v>45436</v>
      </c>
      <c r="Y46" s="4">
        <f t="shared" si="0"/>
        <v>292</v>
      </c>
      <c r="Z46" t="s">
        <v>130</v>
      </c>
      <c r="AA46" t="s">
        <v>47</v>
      </c>
      <c r="AB46" t="s">
        <v>122</v>
      </c>
      <c r="AC46" t="s">
        <v>49</v>
      </c>
      <c r="AD46" t="s">
        <v>50</v>
      </c>
      <c r="AE46" t="s">
        <v>116</v>
      </c>
      <c r="AF46">
        <v>1</v>
      </c>
      <c r="AG46">
        <v>1.2800000000000001E-2</v>
      </c>
      <c r="AH46">
        <v>4.6191687713682601</v>
      </c>
      <c r="AI46">
        <v>4.4971199530070303</v>
      </c>
      <c r="AJ46">
        <v>7.08567039704152E-2</v>
      </c>
      <c r="AK46" s="1">
        <v>0.37290000000000001</v>
      </c>
      <c r="AL46">
        <v>0.48335232632469999</v>
      </c>
      <c r="AM46" s="1">
        <v>0.14399999999999999</v>
      </c>
      <c r="AN46">
        <v>1290781.6000000001</v>
      </c>
      <c r="AO46">
        <v>5</v>
      </c>
      <c r="AP46">
        <v>4207464.1927287905</v>
      </c>
      <c r="AQ46">
        <v>1E-3</v>
      </c>
      <c r="AR46" t="s">
        <v>52</v>
      </c>
      <c r="AS46" t="s">
        <v>123</v>
      </c>
    </row>
    <row r="47" spans="1:45" x14ac:dyDescent="0.2">
      <c r="A47" t="s">
        <v>131</v>
      </c>
      <c r="B47">
        <v>0</v>
      </c>
      <c r="C47">
        <v>1</v>
      </c>
      <c r="D47">
        <v>0</v>
      </c>
      <c r="E47">
        <v>0</v>
      </c>
      <c r="F47">
        <v>1E-3</v>
      </c>
      <c r="G47">
        <v>4</v>
      </c>
      <c r="H47">
        <v>3946792.1964289998</v>
      </c>
      <c r="I47">
        <v>1</v>
      </c>
      <c r="J47">
        <v>1338042152.0696001</v>
      </c>
      <c r="K47">
        <v>126556868.54620001</v>
      </c>
      <c r="L47" s="1">
        <v>0.90539999999999998</v>
      </c>
      <c r="M47">
        <v>563051.553571</v>
      </c>
      <c r="N47">
        <v>14</v>
      </c>
      <c r="O47">
        <v>2300</v>
      </c>
      <c r="P47">
        <v>4.3047005717687998</v>
      </c>
      <c r="Q47">
        <v>4.3047005717687998</v>
      </c>
      <c r="R47">
        <v>2328377.0312000001</v>
      </c>
      <c r="S47">
        <v>128293.96400000001</v>
      </c>
      <c r="T47">
        <v>258041.28</v>
      </c>
      <c r="U47">
        <v>57726</v>
      </c>
      <c r="V47">
        <v>2024</v>
      </c>
      <c r="W47" s="2">
        <v>45729</v>
      </c>
      <c r="X47" s="2">
        <v>45443</v>
      </c>
      <c r="Y47" s="4">
        <f t="shared" si="0"/>
        <v>286</v>
      </c>
      <c r="Z47" t="s">
        <v>131</v>
      </c>
      <c r="AA47" t="s">
        <v>47</v>
      </c>
      <c r="AB47" t="s">
        <v>122</v>
      </c>
      <c r="AC47" t="s">
        <v>49</v>
      </c>
      <c r="AD47" t="s">
        <v>50</v>
      </c>
      <c r="AE47" t="s">
        <v>116</v>
      </c>
      <c r="AF47">
        <v>1</v>
      </c>
      <c r="AG47">
        <v>1.2800000000000001E-2</v>
      </c>
      <c r="AH47">
        <v>4.6191687713682503</v>
      </c>
      <c r="AI47">
        <v>4.4701049786924401</v>
      </c>
      <c r="AJ47">
        <v>6.8078958610187507E-2</v>
      </c>
      <c r="AK47" s="1">
        <v>0.47399999999999998</v>
      </c>
      <c r="AL47">
        <v>0.51628773861622101</v>
      </c>
      <c r="AM47" s="1">
        <v>0.14269999999999999</v>
      </c>
      <c r="AN47">
        <v>1293432.8</v>
      </c>
      <c r="AO47">
        <v>6</v>
      </c>
      <c r="AP47">
        <v>4207464.1927287905</v>
      </c>
      <c r="AQ47">
        <v>1E-3</v>
      </c>
      <c r="AR47" t="s">
        <v>52</v>
      </c>
      <c r="AS47" t="s">
        <v>123</v>
      </c>
    </row>
    <row r="48" spans="1:45" x14ac:dyDescent="0.2">
      <c r="A48" t="s">
        <v>132</v>
      </c>
      <c r="B48">
        <v>0</v>
      </c>
      <c r="C48">
        <v>1</v>
      </c>
      <c r="D48">
        <v>0</v>
      </c>
      <c r="E48">
        <v>0</v>
      </c>
      <c r="F48">
        <v>1E-3</v>
      </c>
      <c r="G48">
        <v>4</v>
      </c>
      <c r="H48">
        <v>4125400.9687399999</v>
      </c>
      <c r="I48">
        <v>1</v>
      </c>
      <c r="J48">
        <v>7888826129.7195997</v>
      </c>
      <c r="K48">
        <v>215013181.75659999</v>
      </c>
      <c r="L48" s="1">
        <v>0.97270000000000001</v>
      </c>
      <c r="M48">
        <v>1651317.7812600001</v>
      </c>
      <c r="N48">
        <v>7</v>
      </c>
      <c r="O48">
        <v>2300</v>
      </c>
      <c r="P48">
        <v>4.3187432857884902</v>
      </c>
      <c r="Q48">
        <v>4.3187432857884902</v>
      </c>
      <c r="R48">
        <v>2685535</v>
      </c>
      <c r="S48">
        <v>148456.144</v>
      </c>
      <c r="T48">
        <v>331686.11</v>
      </c>
      <c r="U48">
        <v>73942</v>
      </c>
      <c r="V48">
        <v>2024</v>
      </c>
      <c r="W48" s="2">
        <v>45730</v>
      </c>
      <c r="X48" s="2">
        <v>45450</v>
      </c>
      <c r="Y48" s="4">
        <f t="shared" si="0"/>
        <v>280</v>
      </c>
      <c r="Z48" t="s">
        <v>132</v>
      </c>
      <c r="AA48" t="s">
        <v>47</v>
      </c>
      <c r="AB48" t="s">
        <v>122</v>
      </c>
      <c r="AC48" t="s">
        <v>49</v>
      </c>
      <c r="AD48" t="s">
        <v>50</v>
      </c>
      <c r="AE48" t="s">
        <v>116</v>
      </c>
      <c r="AF48">
        <v>1</v>
      </c>
      <c r="AG48">
        <v>1.2800000000000001E-2</v>
      </c>
      <c r="AH48">
        <v>4.6191687713682503</v>
      </c>
      <c r="AI48">
        <v>4.4857605961429199</v>
      </c>
      <c r="AJ48">
        <v>6.5038863148266401E-2</v>
      </c>
      <c r="AK48" s="1">
        <v>0.44409999999999999</v>
      </c>
      <c r="AL48">
        <v>0.46488934570338902</v>
      </c>
      <c r="AM48" s="1">
        <v>0.40029999999999999</v>
      </c>
      <c r="AN48">
        <v>852800</v>
      </c>
      <c r="AO48">
        <v>6</v>
      </c>
      <c r="AP48">
        <v>4207464.1927287905</v>
      </c>
      <c r="AQ48">
        <v>1E-3</v>
      </c>
      <c r="AR48" t="s">
        <v>52</v>
      </c>
      <c r="AS48" t="s">
        <v>123</v>
      </c>
    </row>
    <row r="49" spans="1:45" x14ac:dyDescent="0.2">
      <c r="A49" t="s">
        <v>133</v>
      </c>
      <c r="B49">
        <v>0</v>
      </c>
      <c r="C49">
        <v>1</v>
      </c>
      <c r="D49">
        <v>0</v>
      </c>
      <c r="E49">
        <v>0</v>
      </c>
      <c r="F49">
        <v>1E-3</v>
      </c>
      <c r="G49">
        <v>6</v>
      </c>
      <c r="H49">
        <v>11683655.053005001</v>
      </c>
      <c r="I49">
        <v>1</v>
      </c>
      <c r="J49">
        <v>2067516834.5084</v>
      </c>
      <c r="K49">
        <v>134502539.78299999</v>
      </c>
      <c r="L49" s="1">
        <v>0.93489999999999995</v>
      </c>
      <c r="M49">
        <v>11653569.946994999</v>
      </c>
      <c r="N49">
        <v>7</v>
      </c>
      <c r="O49">
        <v>2300</v>
      </c>
      <c r="P49">
        <v>5.2436519667484598</v>
      </c>
      <c r="Q49">
        <v>5.2436519667484598</v>
      </c>
      <c r="R49">
        <v>20764197.618700001</v>
      </c>
      <c r="S49">
        <v>916886.11100000003</v>
      </c>
      <c r="T49">
        <v>1039184.82</v>
      </c>
      <c r="U49">
        <v>196524</v>
      </c>
      <c r="V49">
        <v>2024</v>
      </c>
      <c r="W49" s="2">
        <v>45366</v>
      </c>
      <c r="X49" s="2">
        <v>45344</v>
      </c>
      <c r="Y49" s="4">
        <f t="shared" si="0"/>
        <v>22</v>
      </c>
      <c r="Z49" t="s">
        <v>133</v>
      </c>
      <c r="AA49" t="s">
        <v>47</v>
      </c>
      <c r="AB49" t="s">
        <v>134</v>
      </c>
      <c r="AC49" t="s">
        <v>49</v>
      </c>
      <c r="AD49" t="s">
        <v>50</v>
      </c>
      <c r="AE49" t="s">
        <v>116</v>
      </c>
      <c r="AF49">
        <v>1</v>
      </c>
      <c r="AG49">
        <v>8.4210526315789402E-3</v>
      </c>
      <c r="AH49">
        <v>5.5761075271695502</v>
      </c>
      <c r="AI49">
        <v>5.2878265250045802</v>
      </c>
      <c r="AJ49">
        <v>5.9621440010114303E-2</v>
      </c>
      <c r="AK49" s="1">
        <v>0.86709999999999998</v>
      </c>
      <c r="AL49">
        <v>0.88974578677199201</v>
      </c>
      <c r="AM49" s="1">
        <v>0.99739999999999995</v>
      </c>
      <c r="AN49">
        <v>757479.75</v>
      </c>
      <c r="AO49">
        <v>3</v>
      </c>
      <c r="AP49">
        <v>5570697.8970852504</v>
      </c>
      <c r="AQ49">
        <v>1E-3</v>
      </c>
      <c r="AR49" t="s">
        <v>52</v>
      </c>
      <c r="AS49" t="s">
        <v>135</v>
      </c>
    </row>
    <row r="50" spans="1:45" x14ac:dyDescent="0.2">
      <c r="A50" t="s">
        <v>136</v>
      </c>
      <c r="B50">
        <v>0</v>
      </c>
      <c r="C50">
        <v>1</v>
      </c>
      <c r="D50">
        <v>0</v>
      </c>
      <c r="E50">
        <v>0</v>
      </c>
      <c r="F50">
        <v>1E-3</v>
      </c>
      <c r="G50">
        <v>6</v>
      </c>
      <c r="H50">
        <v>4359193.875</v>
      </c>
      <c r="I50">
        <v>1</v>
      </c>
      <c r="J50">
        <v>1866745742.2756</v>
      </c>
      <c r="K50">
        <v>88349261.258900002</v>
      </c>
      <c r="L50" s="1">
        <v>0.95269999999999999</v>
      </c>
      <c r="M50">
        <v>2293774.875</v>
      </c>
      <c r="N50">
        <v>7</v>
      </c>
      <c r="O50">
        <v>2300</v>
      </c>
      <c r="P50">
        <v>5.13157779032493</v>
      </c>
      <c r="Q50">
        <v>5.13157779032493</v>
      </c>
      <c r="R50">
        <v>4237854.1688000001</v>
      </c>
      <c r="S50">
        <v>183131.60699999999</v>
      </c>
      <c r="T50">
        <v>295963.68</v>
      </c>
      <c r="U50">
        <v>56025</v>
      </c>
      <c r="V50">
        <v>2024</v>
      </c>
      <c r="W50" s="2">
        <v>45367</v>
      </c>
      <c r="X50" s="2">
        <v>45356</v>
      </c>
      <c r="Y50" s="4">
        <f t="shared" si="0"/>
        <v>11</v>
      </c>
      <c r="Z50" t="s">
        <v>136</v>
      </c>
      <c r="AA50" t="s">
        <v>47</v>
      </c>
      <c r="AB50" t="s">
        <v>134</v>
      </c>
      <c r="AC50" t="s">
        <v>49</v>
      </c>
      <c r="AD50" t="s">
        <v>50</v>
      </c>
      <c r="AE50" t="s">
        <v>116</v>
      </c>
      <c r="AF50">
        <v>1</v>
      </c>
      <c r="AG50">
        <v>8.4210526315789402E-3</v>
      </c>
      <c r="AH50">
        <v>5.5761075271695404</v>
      </c>
      <c r="AI50">
        <v>5.2827073627844703</v>
      </c>
      <c r="AJ50">
        <v>7.9720438438220395E-2</v>
      </c>
      <c r="AK50" s="1">
        <v>0.66</v>
      </c>
      <c r="AL50">
        <v>0.63698693441179899</v>
      </c>
      <c r="AM50" s="1">
        <v>0.5262</v>
      </c>
      <c r="AN50">
        <v>943224.15</v>
      </c>
      <c r="AO50">
        <v>4</v>
      </c>
      <c r="AP50">
        <v>5570697.8970852504</v>
      </c>
      <c r="AQ50">
        <v>1E-3</v>
      </c>
      <c r="AR50" t="s">
        <v>52</v>
      </c>
      <c r="AS50" t="s">
        <v>135</v>
      </c>
    </row>
    <row r="51" spans="1:45" x14ac:dyDescent="0.2">
      <c r="A51" t="s">
        <v>137</v>
      </c>
      <c r="B51">
        <v>0</v>
      </c>
      <c r="C51">
        <v>1</v>
      </c>
      <c r="D51">
        <v>0</v>
      </c>
      <c r="E51">
        <v>0</v>
      </c>
      <c r="F51">
        <v>1E-3</v>
      </c>
      <c r="G51">
        <v>6</v>
      </c>
      <c r="H51">
        <v>5489159.375</v>
      </c>
      <c r="I51">
        <v>1</v>
      </c>
      <c r="J51">
        <v>1897579029.6930001</v>
      </c>
      <c r="K51">
        <v>279308461.28670001</v>
      </c>
      <c r="L51" s="1">
        <v>0.8528</v>
      </c>
      <c r="M51">
        <v>3423740.625</v>
      </c>
      <c r="N51">
        <v>7</v>
      </c>
      <c r="O51">
        <v>2300</v>
      </c>
      <c r="P51">
        <v>5.0764584834270696</v>
      </c>
      <c r="Q51">
        <v>5.0764584834270696</v>
      </c>
      <c r="R51">
        <v>6086873.6062999899</v>
      </c>
      <c r="S51">
        <v>260208.51500000001</v>
      </c>
      <c r="T51">
        <v>392441.34</v>
      </c>
      <c r="U51">
        <v>75056</v>
      </c>
      <c r="V51">
        <v>2024</v>
      </c>
      <c r="W51" s="2">
        <v>45368</v>
      </c>
      <c r="X51" s="2">
        <v>45363</v>
      </c>
      <c r="Y51" s="4">
        <f t="shared" si="0"/>
        <v>5</v>
      </c>
      <c r="Z51" t="s">
        <v>137</v>
      </c>
      <c r="AA51" t="s">
        <v>47</v>
      </c>
      <c r="AB51" t="s">
        <v>134</v>
      </c>
      <c r="AC51" t="s">
        <v>49</v>
      </c>
      <c r="AD51" t="s">
        <v>50</v>
      </c>
      <c r="AE51" t="s">
        <v>116</v>
      </c>
      <c r="AF51">
        <v>1</v>
      </c>
      <c r="AG51">
        <v>8.4210526315789402E-3</v>
      </c>
      <c r="AH51">
        <v>5.5761075271695404</v>
      </c>
      <c r="AI51">
        <v>5.2286471434662101</v>
      </c>
      <c r="AJ51">
        <v>8.9605345899076594E-2</v>
      </c>
      <c r="AK51" s="1">
        <v>0.69540000000000002</v>
      </c>
      <c r="AL51">
        <v>0.68292852004398097</v>
      </c>
      <c r="AM51" s="1">
        <v>0.62370000000000003</v>
      </c>
      <c r="AN51">
        <v>250600</v>
      </c>
      <c r="AO51">
        <v>4</v>
      </c>
      <c r="AP51">
        <v>5570697.8970852504</v>
      </c>
      <c r="AQ51">
        <v>1E-3</v>
      </c>
      <c r="AR51" t="s">
        <v>52</v>
      </c>
      <c r="AS51" t="s">
        <v>135</v>
      </c>
    </row>
    <row r="52" spans="1:45" x14ac:dyDescent="0.2">
      <c r="A52" t="s">
        <v>138</v>
      </c>
      <c r="B52">
        <v>0</v>
      </c>
      <c r="C52">
        <v>1</v>
      </c>
      <c r="D52">
        <v>0</v>
      </c>
      <c r="E52">
        <v>0</v>
      </c>
      <c r="F52">
        <v>1E-3</v>
      </c>
      <c r="G52">
        <v>6</v>
      </c>
      <c r="H52">
        <v>6158204.5416670004</v>
      </c>
      <c r="I52">
        <v>1</v>
      </c>
      <c r="J52">
        <v>4053134863.1030998</v>
      </c>
      <c r="K52">
        <v>214928641.08950001</v>
      </c>
      <c r="L52" s="1">
        <v>0.94699999999999995</v>
      </c>
      <c r="M52">
        <v>4217101.7083329996</v>
      </c>
      <c r="N52">
        <v>21</v>
      </c>
      <c r="O52">
        <v>2300</v>
      </c>
      <c r="P52">
        <v>5.0755813117574498</v>
      </c>
      <c r="Q52">
        <v>5.0755813117574498</v>
      </c>
      <c r="R52">
        <v>8006305.6188000003</v>
      </c>
      <c r="S52">
        <v>342203.41200000001</v>
      </c>
      <c r="T52">
        <v>452538.38</v>
      </c>
      <c r="U52">
        <v>87371</v>
      </c>
      <c r="V52">
        <v>2025</v>
      </c>
      <c r="W52" s="2">
        <v>45734</v>
      </c>
      <c r="X52" s="2">
        <v>45401</v>
      </c>
      <c r="Y52" s="4">
        <f t="shared" si="0"/>
        <v>333</v>
      </c>
      <c r="Z52" t="s">
        <v>138</v>
      </c>
      <c r="AA52" t="s">
        <v>47</v>
      </c>
      <c r="AB52" t="s">
        <v>134</v>
      </c>
      <c r="AC52" t="s">
        <v>49</v>
      </c>
      <c r="AD52" t="s">
        <v>50</v>
      </c>
      <c r="AE52" t="s">
        <v>116</v>
      </c>
      <c r="AF52">
        <v>1</v>
      </c>
      <c r="AG52">
        <v>8.4210526315789402E-3</v>
      </c>
      <c r="AH52">
        <v>5.5761075271695404</v>
      </c>
      <c r="AI52">
        <v>5.1795032676746198</v>
      </c>
      <c r="AJ52">
        <v>8.9762654857941701E-2</v>
      </c>
      <c r="AK52" s="1">
        <v>0.79239999999999999</v>
      </c>
      <c r="AL52">
        <v>0.77166932964508805</v>
      </c>
      <c r="AM52" s="1">
        <v>0.68479999999999996</v>
      </c>
      <c r="AN52">
        <v>552685</v>
      </c>
      <c r="AO52">
        <v>4</v>
      </c>
      <c r="AP52">
        <v>5570697.8970852504</v>
      </c>
      <c r="AQ52">
        <v>1E-3</v>
      </c>
      <c r="AR52" t="s">
        <v>52</v>
      </c>
      <c r="AS52" t="s">
        <v>135</v>
      </c>
    </row>
    <row r="53" spans="1:45" x14ac:dyDescent="0.2">
      <c r="A53" t="s">
        <v>139</v>
      </c>
      <c r="B53">
        <v>0</v>
      </c>
      <c r="C53">
        <v>1</v>
      </c>
      <c r="D53">
        <v>0</v>
      </c>
      <c r="E53">
        <v>0</v>
      </c>
      <c r="F53">
        <v>1E-3</v>
      </c>
      <c r="G53">
        <v>6</v>
      </c>
      <c r="H53">
        <v>5181299.875</v>
      </c>
      <c r="I53">
        <v>1</v>
      </c>
      <c r="J53">
        <v>6474433132.1796999</v>
      </c>
      <c r="K53">
        <v>79305552.023200005</v>
      </c>
      <c r="L53" s="1">
        <v>0.98780000000000001</v>
      </c>
      <c r="M53">
        <v>3115881.375</v>
      </c>
      <c r="N53">
        <v>21</v>
      </c>
      <c r="O53">
        <v>2300</v>
      </c>
      <c r="P53">
        <v>5.0797682634241097</v>
      </c>
      <c r="Q53">
        <v>5.0797682634241097</v>
      </c>
      <c r="R53">
        <v>5993690.24379999</v>
      </c>
      <c r="S53">
        <v>256392.06299999999</v>
      </c>
      <c r="T53">
        <v>361567.47</v>
      </c>
      <c r="U53">
        <v>69871</v>
      </c>
      <c r="V53">
        <v>2025</v>
      </c>
      <c r="W53" s="2">
        <v>45735</v>
      </c>
      <c r="X53" s="2">
        <v>45408</v>
      </c>
      <c r="Y53" s="4">
        <f t="shared" si="0"/>
        <v>327</v>
      </c>
      <c r="Z53" t="s">
        <v>139</v>
      </c>
      <c r="AA53" t="s">
        <v>47</v>
      </c>
      <c r="AB53" t="s">
        <v>134</v>
      </c>
      <c r="AC53" t="s">
        <v>49</v>
      </c>
      <c r="AD53" t="s">
        <v>50</v>
      </c>
      <c r="AE53" t="s">
        <v>116</v>
      </c>
      <c r="AF53">
        <v>1</v>
      </c>
      <c r="AG53">
        <v>8.4210526315789402E-3</v>
      </c>
      <c r="AH53">
        <v>5.5761075271695404</v>
      </c>
      <c r="AI53">
        <v>5.17478596270269</v>
      </c>
      <c r="AJ53">
        <v>8.9011781305690596E-2</v>
      </c>
      <c r="AK53" s="1">
        <v>0.80859999999999999</v>
      </c>
      <c r="AL53">
        <v>0.72237667988752197</v>
      </c>
      <c r="AM53" s="1">
        <v>0.60140000000000005</v>
      </c>
      <c r="AN53">
        <v>542745</v>
      </c>
      <c r="AO53">
        <v>4</v>
      </c>
      <c r="AP53">
        <v>5570697.8970852504</v>
      </c>
      <c r="AQ53">
        <v>1E-3</v>
      </c>
      <c r="AR53" t="s">
        <v>52</v>
      </c>
      <c r="AS53" t="s">
        <v>135</v>
      </c>
    </row>
    <row r="54" spans="1:45" x14ac:dyDescent="0.2">
      <c r="A54" t="s">
        <v>140</v>
      </c>
      <c r="B54">
        <v>0</v>
      </c>
      <c r="C54">
        <v>1</v>
      </c>
      <c r="D54">
        <v>0</v>
      </c>
      <c r="E54">
        <v>0</v>
      </c>
      <c r="F54">
        <v>1E-3</v>
      </c>
      <c r="G54">
        <v>6</v>
      </c>
      <c r="H54">
        <v>4185228.625</v>
      </c>
      <c r="I54">
        <v>1</v>
      </c>
      <c r="J54">
        <v>6107338376.7454004</v>
      </c>
      <c r="K54">
        <v>2699879709.8916998</v>
      </c>
      <c r="L54" s="1">
        <v>0.55789999999999995</v>
      </c>
      <c r="M54">
        <v>2173358.875</v>
      </c>
      <c r="N54">
        <v>21</v>
      </c>
      <c r="O54">
        <v>2300</v>
      </c>
      <c r="P54">
        <v>5.0961342216516297</v>
      </c>
      <c r="Q54">
        <v>5.0961342216516297</v>
      </c>
      <c r="R54">
        <v>4219743.4875999996</v>
      </c>
      <c r="S54">
        <v>181089.50899999999</v>
      </c>
      <c r="T54">
        <v>279359.32</v>
      </c>
      <c r="U54">
        <v>53546</v>
      </c>
      <c r="V54">
        <v>2025</v>
      </c>
      <c r="W54" s="2">
        <v>45736</v>
      </c>
      <c r="X54" s="2">
        <v>45415</v>
      </c>
      <c r="Y54" s="4">
        <f t="shared" si="0"/>
        <v>321</v>
      </c>
      <c r="Z54" t="s">
        <v>140</v>
      </c>
      <c r="AA54" t="s">
        <v>47</v>
      </c>
      <c r="AB54" t="s">
        <v>134</v>
      </c>
      <c r="AC54" t="s">
        <v>49</v>
      </c>
      <c r="AD54" t="s">
        <v>50</v>
      </c>
      <c r="AE54" t="s">
        <v>116</v>
      </c>
      <c r="AF54">
        <v>1</v>
      </c>
      <c r="AG54">
        <v>8.4210526315789402E-3</v>
      </c>
      <c r="AH54">
        <v>5.5761075271695404</v>
      </c>
      <c r="AI54">
        <v>5.2171837298771102</v>
      </c>
      <c r="AJ54">
        <v>8.6076766486162998E-2</v>
      </c>
      <c r="AK54" s="1">
        <v>0.74780000000000002</v>
      </c>
      <c r="AL54">
        <v>0.66362906661267096</v>
      </c>
      <c r="AM54" s="1">
        <v>0.51929999999999998</v>
      </c>
      <c r="AN54">
        <v>1040750.55</v>
      </c>
      <c r="AO54">
        <v>5</v>
      </c>
      <c r="AP54">
        <v>5570697.8970852504</v>
      </c>
      <c r="AQ54">
        <v>1E-3</v>
      </c>
      <c r="AR54" t="s">
        <v>52</v>
      </c>
      <c r="AS54" t="s">
        <v>135</v>
      </c>
    </row>
    <row r="55" spans="1:45" x14ac:dyDescent="0.2">
      <c r="A55" t="s">
        <v>141</v>
      </c>
      <c r="B55">
        <v>0</v>
      </c>
      <c r="C55">
        <v>1</v>
      </c>
      <c r="D55">
        <v>0</v>
      </c>
      <c r="E55">
        <v>0</v>
      </c>
      <c r="F55">
        <v>1E-3</v>
      </c>
      <c r="G55">
        <v>6</v>
      </c>
      <c r="H55">
        <v>2502538.9056119998</v>
      </c>
      <c r="I55">
        <v>1</v>
      </c>
      <c r="J55">
        <v>4360807447.0368996</v>
      </c>
      <c r="K55">
        <v>146153392.1374</v>
      </c>
      <c r="L55" s="1">
        <v>0.96650000000000003</v>
      </c>
      <c r="M55">
        <v>3505617.3443880002</v>
      </c>
      <c r="N55">
        <v>21</v>
      </c>
      <c r="O55">
        <v>2300</v>
      </c>
      <c r="P55">
        <v>5.0387618233587599</v>
      </c>
      <c r="Q55">
        <v>5.0387618233587599</v>
      </c>
      <c r="R55">
        <v>3579274.0312000001</v>
      </c>
      <c r="S55">
        <v>151874.60499999899</v>
      </c>
      <c r="T55">
        <v>260407.59</v>
      </c>
      <c r="U55">
        <v>50595</v>
      </c>
      <c r="V55">
        <v>2025</v>
      </c>
      <c r="W55" s="2">
        <v>45737</v>
      </c>
      <c r="X55" s="2">
        <v>45436</v>
      </c>
      <c r="Y55" s="4">
        <f t="shared" si="0"/>
        <v>301</v>
      </c>
      <c r="Z55" t="s">
        <v>141</v>
      </c>
      <c r="AA55" t="s">
        <v>47</v>
      </c>
      <c r="AB55" t="s">
        <v>134</v>
      </c>
      <c r="AC55" t="s">
        <v>49</v>
      </c>
      <c r="AD55" t="s">
        <v>50</v>
      </c>
      <c r="AE55" t="s">
        <v>116</v>
      </c>
      <c r="AF55">
        <v>1</v>
      </c>
      <c r="AG55">
        <v>8.4210526315789402E-3</v>
      </c>
      <c r="AH55">
        <v>5.2878265250045802</v>
      </c>
      <c r="AI55">
        <v>5.1469036466053897</v>
      </c>
      <c r="AJ55">
        <v>4.7101526585272599E-2</v>
      </c>
      <c r="AK55" s="1">
        <v>0.56579999999999997</v>
      </c>
      <c r="AL55">
        <v>0.59573584345446995</v>
      </c>
      <c r="AM55" s="1">
        <v>1.4008</v>
      </c>
      <c r="AN55">
        <v>955222.45</v>
      </c>
      <c r="AO55">
        <v>5</v>
      </c>
      <c r="AP55">
        <v>5570697.8970852504</v>
      </c>
      <c r="AQ55">
        <v>1E-3</v>
      </c>
      <c r="AR55" t="s">
        <v>52</v>
      </c>
      <c r="AS55" t="s">
        <v>135</v>
      </c>
    </row>
    <row r="56" spans="1:45" x14ac:dyDescent="0.2">
      <c r="A56" t="s">
        <v>142</v>
      </c>
      <c r="B56">
        <v>0</v>
      </c>
      <c r="C56">
        <v>1</v>
      </c>
      <c r="D56">
        <v>0</v>
      </c>
      <c r="E56">
        <v>0</v>
      </c>
      <c r="F56">
        <v>1E-3</v>
      </c>
      <c r="G56">
        <v>6</v>
      </c>
      <c r="H56">
        <v>2790780.1612809999</v>
      </c>
      <c r="I56">
        <v>1</v>
      </c>
      <c r="J56">
        <v>1338042152.0696001</v>
      </c>
      <c r="K56">
        <v>126556868.54620001</v>
      </c>
      <c r="L56" s="1">
        <v>0.90539999999999998</v>
      </c>
      <c r="M56">
        <v>2258469.8387190001</v>
      </c>
      <c r="N56">
        <v>21</v>
      </c>
      <c r="O56">
        <v>2300</v>
      </c>
      <c r="P56">
        <v>5.0626251954652002</v>
      </c>
      <c r="Q56">
        <v>5.0626251954652002</v>
      </c>
      <c r="R56">
        <v>2884672.6250999998</v>
      </c>
      <c r="S56">
        <v>122981.19</v>
      </c>
      <c r="T56">
        <v>219206.07</v>
      </c>
      <c r="U56">
        <v>42520</v>
      </c>
      <c r="V56">
        <v>2025</v>
      </c>
      <c r="W56" s="2">
        <v>45738</v>
      </c>
      <c r="X56" s="2">
        <v>45443</v>
      </c>
      <c r="Y56" s="4">
        <f t="shared" si="0"/>
        <v>295</v>
      </c>
      <c r="Z56" t="s">
        <v>142</v>
      </c>
      <c r="AA56" t="s">
        <v>47</v>
      </c>
      <c r="AB56" t="s">
        <v>134</v>
      </c>
      <c r="AC56" t="s">
        <v>49</v>
      </c>
      <c r="AD56" t="s">
        <v>50</v>
      </c>
      <c r="AE56" t="s">
        <v>116</v>
      </c>
      <c r="AF56">
        <v>1</v>
      </c>
      <c r="AG56">
        <v>8.4210526315789402E-3</v>
      </c>
      <c r="AH56">
        <v>5.2827073627844703</v>
      </c>
      <c r="AI56">
        <v>5.1553638287864496</v>
      </c>
      <c r="AJ56">
        <v>4.1660866711963299E-2</v>
      </c>
      <c r="AK56" s="1">
        <v>0.5786</v>
      </c>
      <c r="AL56">
        <v>0.571307149596474</v>
      </c>
      <c r="AM56" s="1">
        <v>0.80930000000000002</v>
      </c>
      <c r="AN56">
        <v>936705.7</v>
      </c>
      <c r="AO56">
        <v>6</v>
      </c>
      <c r="AP56">
        <v>5570697.8970852504</v>
      </c>
      <c r="AQ56">
        <v>1E-3</v>
      </c>
      <c r="AR56" t="s">
        <v>52</v>
      </c>
      <c r="AS56" t="s">
        <v>135</v>
      </c>
    </row>
    <row r="57" spans="1:45" x14ac:dyDescent="0.2">
      <c r="A57" t="s">
        <v>143</v>
      </c>
      <c r="B57">
        <v>0</v>
      </c>
      <c r="C57">
        <v>1</v>
      </c>
      <c r="D57">
        <v>0</v>
      </c>
      <c r="E57">
        <v>0</v>
      </c>
      <c r="F57">
        <v>1E-3</v>
      </c>
      <c r="G57">
        <v>6</v>
      </c>
      <c r="H57">
        <v>2823435.6476759999</v>
      </c>
      <c r="I57">
        <v>1</v>
      </c>
      <c r="J57">
        <v>7888826129.7195997</v>
      </c>
      <c r="K57">
        <v>215013181.75659999</v>
      </c>
      <c r="L57" s="1">
        <v>0.97270000000000001</v>
      </c>
      <c r="M57">
        <v>1094601.8523240001</v>
      </c>
      <c r="N57">
        <v>21</v>
      </c>
      <c r="O57">
        <v>2300</v>
      </c>
      <c r="P57">
        <v>5.05738585503323</v>
      </c>
      <c r="Q57">
        <v>5.05738585503323</v>
      </c>
      <c r="R57">
        <v>1846469.2812999999</v>
      </c>
      <c r="S57">
        <v>78638.379999999903</v>
      </c>
      <c r="T57">
        <v>170378.53</v>
      </c>
      <c r="U57">
        <v>32994</v>
      </c>
      <c r="V57">
        <v>2025</v>
      </c>
      <c r="W57" s="2">
        <v>45739</v>
      </c>
      <c r="X57" s="2">
        <v>45450</v>
      </c>
      <c r="Y57" s="4">
        <f t="shared" si="0"/>
        <v>289</v>
      </c>
      <c r="Z57" t="s">
        <v>143</v>
      </c>
      <c r="AA57" t="s">
        <v>47</v>
      </c>
      <c r="AB57" t="s">
        <v>134</v>
      </c>
      <c r="AC57" t="s">
        <v>49</v>
      </c>
      <c r="AD57" t="s">
        <v>50</v>
      </c>
      <c r="AE57" t="s">
        <v>116</v>
      </c>
      <c r="AF57">
        <v>1</v>
      </c>
      <c r="AG57">
        <v>8.4210526315789402E-3</v>
      </c>
      <c r="AH57">
        <v>5.2827073627844703</v>
      </c>
      <c r="AI57">
        <v>5.1639246529672</v>
      </c>
      <c r="AJ57">
        <v>4.2652657487442798E-2</v>
      </c>
      <c r="AK57" s="1">
        <v>0.5272</v>
      </c>
      <c r="AL57">
        <v>0.47127401953146097</v>
      </c>
      <c r="AM57" s="1">
        <v>0.38769999999999999</v>
      </c>
      <c r="AN57">
        <v>895131.65</v>
      </c>
      <c r="AO57">
        <v>6</v>
      </c>
      <c r="AP57">
        <v>5570697.8970852504</v>
      </c>
      <c r="AQ57">
        <v>1E-3</v>
      </c>
      <c r="AR57" t="s">
        <v>52</v>
      </c>
      <c r="AS57" t="s">
        <v>135</v>
      </c>
    </row>
    <row r="58" spans="1:45" x14ac:dyDescent="0.2">
      <c r="A58" t="s">
        <v>144</v>
      </c>
      <c r="B58">
        <v>0</v>
      </c>
      <c r="C58">
        <v>1</v>
      </c>
      <c r="D58">
        <v>0</v>
      </c>
      <c r="E58">
        <v>0</v>
      </c>
      <c r="F58">
        <v>1E-3</v>
      </c>
      <c r="G58">
        <v>2</v>
      </c>
      <c r="H58">
        <v>295877693.71428603</v>
      </c>
      <c r="I58">
        <v>1</v>
      </c>
      <c r="J58">
        <v>0</v>
      </c>
      <c r="K58">
        <v>0</v>
      </c>
      <c r="L58" s="1">
        <v>0</v>
      </c>
      <c r="M58">
        <v>505504420.10681403</v>
      </c>
      <c r="N58">
        <v>21</v>
      </c>
      <c r="O58">
        <v>2300</v>
      </c>
      <c r="P58">
        <v>3.5185876027188798</v>
      </c>
      <c r="Q58">
        <v>3.5185876027188798</v>
      </c>
      <c r="R58">
        <v>0</v>
      </c>
      <c r="S58">
        <v>0</v>
      </c>
      <c r="T58">
        <v>173413.59</v>
      </c>
      <c r="U58">
        <v>49285</v>
      </c>
      <c r="V58">
        <v>2025</v>
      </c>
      <c r="W58" s="2">
        <v>45740</v>
      </c>
      <c r="X58" s="2">
        <v>45450</v>
      </c>
      <c r="Y58" s="4">
        <f t="shared" si="0"/>
        <v>290</v>
      </c>
      <c r="Z58" t="s">
        <v>144</v>
      </c>
      <c r="AA58" t="s">
        <v>47</v>
      </c>
      <c r="AB58" t="s">
        <v>59</v>
      </c>
      <c r="AC58" t="s">
        <v>49</v>
      </c>
      <c r="AD58" t="s">
        <v>145</v>
      </c>
      <c r="AE58" t="s">
        <v>51</v>
      </c>
      <c r="AF58">
        <v>1</v>
      </c>
      <c r="AG58" s="3">
        <v>6.1500000000002904E-5</v>
      </c>
      <c r="AH58">
        <v>3.73180428373899</v>
      </c>
      <c r="AI58">
        <v>3.5185876027188798</v>
      </c>
      <c r="AJ58">
        <v>5.7135011594575298E-2</v>
      </c>
      <c r="AK58" s="1">
        <v>1</v>
      </c>
      <c r="AL58">
        <v>0</v>
      </c>
      <c r="AM58" s="1">
        <v>1.7084999999999999</v>
      </c>
      <c r="AN58">
        <v>848133.65</v>
      </c>
      <c r="AO58">
        <v>6</v>
      </c>
      <c r="AP58">
        <v>409743304.94608098</v>
      </c>
      <c r="AQ58">
        <v>1E-3</v>
      </c>
      <c r="AR58" t="s">
        <v>52</v>
      </c>
      <c r="AS58" t="s">
        <v>146</v>
      </c>
    </row>
    <row r="59" spans="1:45" x14ac:dyDescent="0.2">
      <c r="A59" t="s">
        <v>147</v>
      </c>
      <c r="B59">
        <v>0</v>
      </c>
      <c r="C59">
        <v>1</v>
      </c>
      <c r="D59">
        <v>0</v>
      </c>
      <c r="E59">
        <v>0</v>
      </c>
      <c r="F59">
        <v>1E-3</v>
      </c>
      <c r="G59">
        <v>2</v>
      </c>
      <c r="H59">
        <v>182726282.66666701</v>
      </c>
      <c r="I59">
        <v>1</v>
      </c>
      <c r="J59">
        <v>0</v>
      </c>
      <c r="K59">
        <v>0</v>
      </c>
      <c r="L59" s="1">
        <v>0</v>
      </c>
      <c r="M59">
        <v>348802172.61783302</v>
      </c>
      <c r="N59">
        <v>21</v>
      </c>
      <c r="O59">
        <v>2300</v>
      </c>
      <c r="P59">
        <v>3.6587173055156099</v>
      </c>
      <c r="Q59">
        <v>3.6587173055156099</v>
      </c>
      <c r="R59">
        <v>0</v>
      </c>
      <c r="S59">
        <v>0</v>
      </c>
      <c r="T59">
        <v>119599.81</v>
      </c>
      <c r="U59">
        <v>32689</v>
      </c>
      <c r="V59">
        <v>2025</v>
      </c>
      <c r="W59" s="2">
        <v>45741</v>
      </c>
      <c r="X59" s="2">
        <v>45464</v>
      </c>
      <c r="Y59" s="4">
        <f t="shared" si="0"/>
        <v>277</v>
      </c>
      <c r="Z59" t="s">
        <v>147</v>
      </c>
      <c r="AA59" t="s">
        <v>47</v>
      </c>
      <c r="AB59" t="s">
        <v>59</v>
      </c>
      <c r="AC59" t="s">
        <v>49</v>
      </c>
      <c r="AD59" t="s">
        <v>145</v>
      </c>
      <c r="AE59" t="s">
        <v>51</v>
      </c>
      <c r="AF59">
        <v>1</v>
      </c>
      <c r="AG59" s="3">
        <v>6.1500000000006103E-5</v>
      </c>
      <c r="AH59">
        <v>3.8325047226639999</v>
      </c>
      <c r="AI59">
        <v>3.6587173055156099</v>
      </c>
      <c r="AJ59">
        <v>4.5345649835907199E-2</v>
      </c>
      <c r="AK59" s="1">
        <v>1</v>
      </c>
      <c r="AL59">
        <v>0</v>
      </c>
      <c r="AM59" s="1">
        <v>1.9089</v>
      </c>
      <c r="AN59">
        <v>757917.65</v>
      </c>
      <c r="AO59">
        <v>6</v>
      </c>
      <c r="AP59">
        <v>409743304.94608098</v>
      </c>
      <c r="AQ59">
        <v>1E-3</v>
      </c>
      <c r="AR59" t="s">
        <v>52</v>
      </c>
      <c r="AS59" t="s">
        <v>146</v>
      </c>
    </row>
    <row r="60" spans="1:45" x14ac:dyDescent="0.2">
      <c r="A60" t="s">
        <v>148</v>
      </c>
      <c r="B60">
        <v>0</v>
      </c>
      <c r="C60">
        <v>1</v>
      </c>
      <c r="D60">
        <v>0</v>
      </c>
      <c r="E60">
        <v>0</v>
      </c>
      <c r="F60">
        <v>1E-3</v>
      </c>
      <c r="G60">
        <v>2</v>
      </c>
      <c r="H60">
        <v>170016256</v>
      </c>
      <c r="I60">
        <v>1</v>
      </c>
      <c r="J60">
        <v>0</v>
      </c>
      <c r="K60">
        <v>0</v>
      </c>
      <c r="L60" s="1">
        <v>0</v>
      </c>
      <c r="M60">
        <v>285756101.72359997</v>
      </c>
      <c r="N60">
        <v>21</v>
      </c>
      <c r="O60">
        <v>2300</v>
      </c>
      <c r="P60">
        <v>3.66795183731716</v>
      </c>
      <c r="Q60">
        <v>3.66795183731716</v>
      </c>
      <c r="R60">
        <v>0</v>
      </c>
      <c r="S60">
        <v>0</v>
      </c>
      <c r="T60">
        <v>102812.69</v>
      </c>
      <c r="U60">
        <v>28030</v>
      </c>
      <c r="V60">
        <v>2025</v>
      </c>
      <c r="W60" s="2">
        <v>45742</v>
      </c>
      <c r="X60" s="2">
        <v>45471</v>
      </c>
      <c r="Y60" s="4">
        <f t="shared" si="0"/>
        <v>271</v>
      </c>
      <c r="Z60" t="s">
        <v>148</v>
      </c>
      <c r="AA60" t="s">
        <v>47</v>
      </c>
      <c r="AB60" t="s">
        <v>59</v>
      </c>
      <c r="AC60" t="s">
        <v>49</v>
      </c>
      <c r="AD60" t="s">
        <v>145</v>
      </c>
      <c r="AE60" t="s">
        <v>51</v>
      </c>
      <c r="AF60">
        <v>1</v>
      </c>
      <c r="AG60" s="3">
        <v>6.1499999999996901E-5</v>
      </c>
      <c r="AH60">
        <v>3.8325047226645701</v>
      </c>
      <c r="AI60">
        <v>3.66795183731716</v>
      </c>
      <c r="AJ60">
        <v>4.2936120697851299E-2</v>
      </c>
      <c r="AK60" s="1">
        <v>1</v>
      </c>
      <c r="AL60">
        <v>0</v>
      </c>
      <c r="AM60" s="1">
        <v>1.6808000000000001</v>
      </c>
      <c r="AN60">
        <v>634634.69999999995</v>
      </c>
      <c r="AO60">
        <v>7</v>
      </c>
      <c r="AP60">
        <v>409743304.94608098</v>
      </c>
      <c r="AQ60">
        <v>1E-3</v>
      </c>
      <c r="AR60" t="s">
        <v>52</v>
      </c>
      <c r="AS60" t="s">
        <v>146</v>
      </c>
    </row>
    <row r="61" spans="1:45" x14ac:dyDescent="0.2">
      <c r="A61" t="s">
        <v>149</v>
      </c>
      <c r="B61">
        <v>0</v>
      </c>
      <c r="C61">
        <v>1</v>
      </c>
      <c r="D61">
        <v>0</v>
      </c>
      <c r="E61">
        <v>0</v>
      </c>
      <c r="F61">
        <v>1E-3</v>
      </c>
      <c r="G61">
        <v>2</v>
      </c>
      <c r="H61">
        <v>170016256</v>
      </c>
      <c r="I61">
        <v>1</v>
      </c>
      <c r="J61">
        <v>0</v>
      </c>
      <c r="K61">
        <v>0</v>
      </c>
      <c r="L61" s="1">
        <v>0</v>
      </c>
      <c r="M61">
        <v>488699191.15439999</v>
      </c>
      <c r="N61">
        <v>21</v>
      </c>
      <c r="O61">
        <v>2300</v>
      </c>
      <c r="P61">
        <v>3.6766599195280198</v>
      </c>
      <c r="Q61">
        <v>3.6766599195280198</v>
      </c>
      <c r="R61">
        <v>0</v>
      </c>
      <c r="S61">
        <v>0</v>
      </c>
      <c r="T61">
        <v>148945.16999999899</v>
      </c>
      <c r="U61">
        <v>40511</v>
      </c>
      <c r="V61">
        <v>2025</v>
      </c>
      <c r="W61" s="2">
        <v>45743</v>
      </c>
      <c r="X61" s="2">
        <v>45478</v>
      </c>
      <c r="Y61" s="4">
        <f t="shared" si="0"/>
        <v>265</v>
      </c>
      <c r="Z61" t="s">
        <v>149</v>
      </c>
      <c r="AA61" t="s">
        <v>47</v>
      </c>
      <c r="AB61" t="s">
        <v>59</v>
      </c>
      <c r="AC61" t="s">
        <v>49</v>
      </c>
      <c r="AD61" t="s">
        <v>145</v>
      </c>
      <c r="AE61" t="s">
        <v>51</v>
      </c>
      <c r="AF61">
        <v>1</v>
      </c>
      <c r="AG61" s="3">
        <v>6.1500000000006604E-5</v>
      </c>
      <c r="AH61">
        <v>3.8325047226639599</v>
      </c>
      <c r="AI61">
        <v>3.6766599195280198</v>
      </c>
      <c r="AJ61">
        <v>4.0663955927915399E-2</v>
      </c>
      <c r="AK61" s="1">
        <v>1</v>
      </c>
      <c r="AL61">
        <v>0</v>
      </c>
      <c r="AM61" s="1">
        <v>2.8744000000000001</v>
      </c>
      <c r="AN61">
        <v>661203.9</v>
      </c>
      <c r="AO61">
        <v>7</v>
      </c>
      <c r="AP61">
        <v>409743304.94608098</v>
      </c>
      <c r="AQ61">
        <v>1E-3</v>
      </c>
      <c r="AR61" t="s">
        <v>52</v>
      </c>
      <c r="AS61" t="s">
        <v>146</v>
      </c>
    </row>
    <row r="62" spans="1:45" x14ac:dyDescent="0.2">
      <c r="A62" t="s">
        <v>150</v>
      </c>
      <c r="B62">
        <v>0</v>
      </c>
      <c r="C62">
        <v>1</v>
      </c>
      <c r="D62">
        <v>0</v>
      </c>
      <c r="E62">
        <v>0</v>
      </c>
      <c r="F62">
        <v>1E-3</v>
      </c>
      <c r="G62">
        <v>2</v>
      </c>
      <c r="H62">
        <v>170016256</v>
      </c>
      <c r="I62">
        <v>1</v>
      </c>
      <c r="J62">
        <v>0</v>
      </c>
      <c r="K62">
        <v>0</v>
      </c>
      <c r="L62" s="1">
        <v>0</v>
      </c>
      <c r="M62">
        <v>330195126.11390001</v>
      </c>
      <c r="N62">
        <v>21</v>
      </c>
      <c r="O62">
        <v>2300</v>
      </c>
      <c r="P62">
        <v>3.5270906608588199</v>
      </c>
      <c r="Q62">
        <v>3.5270906608588199</v>
      </c>
      <c r="R62">
        <v>0</v>
      </c>
      <c r="S62">
        <v>0</v>
      </c>
      <c r="T62">
        <v>108503.89</v>
      </c>
      <c r="U62">
        <v>30763</v>
      </c>
      <c r="V62">
        <v>2025</v>
      </c>
      <c r="W62" s="2">
        <v>45744</v>
      </c>
      <c r="X62" s="2">
        <v>45485</v>
      </c>
      <c r="Y62" s="4">
        <f t="shared" si="0"/>
        <v>259</v>
      </c>
      <c r="Z62" t="s">
        <v>150</v>
      </c>
      <c r="AA62" t="s">
        <v>47</v>
      </c>
      <c r="AB62" t="s">
        <v>59</v>
      </c>
      <c r="AC62" t="s">
        <v>49</v>
      </c>
      <c r="AD62" t="s">
        <v>145</v>
      </c>
      <c r="AE62" t="s">
        <v>51</v>
      </c>
      <c r="AF62">
        <v>1</v>
      </c>
      <c r="AG62" s="3">
        <v>6.14999999999903E-5</v>
      </c>
      <c r="AH62">
        <v>3.73180428373976</v>
      </c>
      <c r="AI62">
        <v>3.5270906608588199</v>
      </c>
      <c r="AJ62">
        <v>5.4856473522182002E-2</v>
      </c>
      <c r="AK62" s="1">
        <v>1</v>
      </c>
      <c r="AL62">
        <v>0</v>
      </c>
      <c r="AM62" s="1">
        <v>1.9420999999999999</v>
      </c>
      <c r="AN62">
        <v>707175</v>
      </c>
      <c r="AO62">
        <v>7</v>
      </c>
      <c r="AP62">
        <v>409743304.94608098</v>
      </c>
      <c r="AQ62">
        <v>1E-3</v>
      </c>
      <c r="AR62" t="s">
        <v>52</v>
      </c>
      <c r="AS62" t="s">
        <v>146</v>
      </c>
    </row>
    <row r="63" spans="1:45" x14ac:dyDescent="0.2">
      <c r="A63" t="s">
        <v>151</v>
      </c>
      <c r="B63">
        <v>0</v>
      </c>
      <c r="C63">
        <v>1</v>
      </c>
      <c r="D63">
        <v>0</v>
      </c>
      <c r="E63">
        <v>0</v>
      </c>
      <c r="F63">
        <v>1E-3</v>
      </c>
      <c r="G63">
        <v>2</v>
      </c>
      <c r="H63">
        <v>180215388.33041799</v>
      </c>
      <c r="I63">
        <v>1</v>
      </c>
      <c r="J63">
        <v>0</v>
      </c>
      <c r="K63">
        <v>0</v>
      </c>
      <c r="L63" s="1">
        <v>0</v>
      </c>
      <c r="M63">
        <v>89654530.368781894</v>
      </c>
      <c r="N63">
        <v>21</v>
      </c>
      <c r="O63">
        <v>2300</v>
      </c>
      <c r="P63">
        <v>3.4972543230704298</v>
      </c>
      <c r="Q63">
        <v>3.4972543230704298</v>
      </c>
      <c r="R63">
        <v>0</v>
      </c>
      <c r="S63">
        <v>0</v>
      </c>
      <c r="T63">
        <v>58043.929999999898</v>
      </c>
      <c r="U63">
        <v>16597</v>
      </c>
      <c r="V63">
        <v>2025</v>
      </c>
      <c r="W63" s="2">
        <v>45745</v>
      </c>
      <c r="X63" s="2">
        <v>45492</v>
      </c>
      <c r="Y63" s="4">
        <f t="shared" si="0"/>
        <v>253</v>
      </c>
      <c r="Z63" t="s">
        <v>151</v>
      </c>
      <c r="AA63" t="s">
        <v>47</v>
      </c>
      <c r="AB63" t="s">
        <v>59</v>
      </c>
      <c r="AC63" t="s">
        <v>49</v>
      </c>
      <c r="AD63" t="s">
        <v>145</v>
      </c>
      <c r="AE63" t="s">
        <v>51</v>
      </c>
      <c r="AF63">
        <v>1</v>
      </c>
      <c r="AG63" s="3">
        <v>6.1499999999996995E-5</v>
      </c>
      <c r="AH63">
        <v>3.6817941374665599</v>
      </c>
      <c r="AI63">
        <v>3.4972543230704298</v>
      </c>
      <c r="AJ63">
        <v>5.0122252224321699E-2</v>
      </c>
      <c r="AK63" s="1">
        <v>1</v>
      </c>
      <c r="AL63">
        <v>0</v>
      </c>
      <c r="AM63" s="1">
        <v>0.4975</v>
      </c>
      <c r="AN63">
        <v>748405</v>
      </c>
      <c r="AO63">
        <v>7</v>
      </c>
      <c r="AP63">
        <v>409743304.94608098</v>
      </c>
      <c r="AQ63">
        <v>1E-3</v>
      </c>
      <c r="AR63" t="s">
        <v>52</v>
      </c>
      <c r="AS63" t="s">
        <v>146</v>
      </c>
    </row>
    <row r="64" spans="1:45" x14ac:dyDescent="0.2">
      <c r="A64" t="s">
        <v>152</v>
      </c>
      <c r="B64">
        <v>0</v>
      </c>
      <c r="C64">
        <v>1</v>
      </c>
      <c r="D64">
        <v>0</v>
      </c>
      <c r="E64">
        <v>0</v>
      </c>
      <c r="F64">
        <v>1E-3</v>
      </c>
      <c r="G64">
        <v>2</v>
      </c>
      <c r="H64">
        <v>309890076.93362302</v>
      </c>
      <c r="I64">
        <v>1</v>
      </c>
      <c r="J64">
        <v>0</v>
      </c>
      <c r="K64">
        <v>0</v>
      </c>
      <c r="L64" s="1">
        <v>0</v>
      </c>
      <c r="M64">
        <v>324890410.87127697</v>
      </c>
      <c r="N64">
        <v>21</v>
      </c>
      <c r="O64">
        <v>2300</v>
      </c>
      <c r="P64">
        <v>3.5039291477752998</v>
      </c>
      <c r="Q64">
        <v>3.5039291477752998</v>
      </c>
      <c r="R64">
        <v>0</v>
      </c>
      <c r="S64">
        <v>0</v>
      </c>
      <c r="T64">
        <v>136789.89000000001</v>
      </c>
      <c r="U64">
        <v>39039</v>
      </c>
      <c r="V64">
        <v>2025</v>
      </c>
      <c r="W64" s="2">
        <v>45746</v>
      </c>
      <c r="X64" s="2">
        <v>45548</v>
      </c>
      <c r="Y64" s="4">
        <f t="shared" si="0"/>
        <v>198</v>
      </c>
      <c r="Z64" t="s">
        <v>152</v>
      </c>
      <c r="AA64" t="s">
        <v>47</v>
      </c>
      <c r="AB64" t="s">
        <v>59</v>
      </c>
      <c r="AC64" t="s">
        <v>49</v>
      </c>
      <c r="AD64" t="s">
        <v>145</v>
      </c>
      <c r="AE64" t="s">
        <v>51</v>
      </c>
      <c r="AF64">
        <v>1</v>
      </c>
      <c r="AG64" s="3">
        <v>6.1499999999997795E-5</v>
      </c>
      <c r="AH64">
        <v>3.6985580608800799</v>
      </c>
      <c r="AI64">
        <v>3.5039291477752998</v>
      </c>
      <c r="AJ64">
        <v>5.2622916796516601E-2</v>
      </c>
      <c r="AK64" s="1">
        <v>1</v>
      </c>
      <c r="AL64">
        <v>0</v>
      </c>
      <c r="AM64" s="1">
        <v>1.0484</v>
      </c>
      <c r="AN64">
        <v>1855859.375</v>
      </c>
      <c r="AO64">
        <v>9</v>
      </c>
      <c r="AP64">
        <v>409743304.94608098</v>
      </c>
      <c r="AQ64">
        <v>1E-3</v>
      </c>
      <c r="AR64" t="s">
        <v>52</v>
      </c>
      <c r="AS64" t="s">
        <v>146</v>
      </c>
    </row>
    <row r="65" spans="1:45" x14ac:dyDescent="0.2">
      <c r="A65" t="s">
        <v>153</v>
      </c>
      <c r="B65">
        <v>0</v>
      </c>
      <c r="C65">
        <v>1</v>
      </c>
      <c r="D65">
        <v>0</v>
      </c>
      <c r="E65">
        <v>0</v>
      </c>
      <c r="F65">
        <v>1E-3</v>
      </c>
      <c r="G65">
        <v>2</v>
      </c>
      <c r="H65">
        <v>249348327.49659899</v>
      </c>
      <c r="I65">
        <v>1</v>
      </c>
      <c r="J65">
        <v>0</v>
      </c>
      <c r="K65">
        <v>0</v>
      </c>
      <c r="L65" s="1">
        <v>0</v>
      </c>
      <c r="M65">
        <v>329887444.86110097</v>
      </c>
      <c r="N65">
        <v>21</v>
      </c>
      <c r="O65">
        <v>2300</v>
      </c>
      <c r="P65">
        <v>3.5315955983493801</v>
      </c>
      <c r="Q65">
        <v>3.5315955983493801</v>
      </c>
      <c r="R65">
        <v>0</v>
      </c>
      <c r="S65">
        <v>0</v>
      </c>
      <c r="T65">
        <v>125806.03</v>
      </c>
      <c r="U65">
        <v>35623</v>
      </c>
      <c r="V65">
        <v>2024</v>
      </c>
      <c r="W65" s="2">
        <v>45382</v>
      </c>
      <c r="X65" s="2">
        <v>45301</v>
      </c>
      <c r="Y65" s="4">
        <f t="shared" si="0"/>
        <v>81</v>
      </c>
      <c r="Z65" t="s">
        <v>153</v>
      </c>
      <c r="AA65" t="s">
        <v>47</v>
      </c>
      <c r="AB65" t="s">
        <v>59</v>
      </c>
      <c r="AC65" t="s">
        <v>49</v>
      </c>
      <c r="AD65" t="s">
        <v>145</v>
      </c>
      <c r="AE65" t="s">
        <v>51</v>
      </c>
      <c r="AF65">
        <v>1</v>
      </c>
      <c r="AG65" s="3">
        <v>6.1500000000002498E-5</v>
      </c>
      <c r="AH65">
        <v>3.7395666816352202</v>
      </c>
      <c r="AI65">
        <v>3.5315955983493801</v>
      </c>
      <c r="AJ65">
        <v>5.5613684951034102E-2</v>
      </c>
      <c r="AK65" s="1">
        <v>1</v>
      </c>
      <c r="AL65">
        <v>0</v>
      </c>
      <c r="AM65" s="1">
        <v>1.323</v>
      </c>
      <c r="AN65">
        <v>1763750</v>
      </c>
      <c r="AO65">
        <v>1</v>
      </c>
      <c r="AP65">
        <v>445353231.15835202</v>
      </c>
      <c r="AQ65">
        <v>1E-3</v>
      </c>
      <c r="AR65" t="s">
        <v>52</v>
      </c>
      <c r="AS65" t="s">
        <v>146</v>
      </c>
    </row>
    <row r="66" spans="1:45" x14ac:dyDescent="0.2">
      <c r="A66" t="s">
        <v>154</v>
      </c>
      <c r="B66">
        <v>0</v>
      </c>
      <c r="C66">
        <v>1</v>
      </c>
      <c r="D66">
        <v>0</v>
      </c>
      <c r="E66">
        <v>0</v>
      </c>
      <c r="F66">
        <v>1E-3</v>
      </c>
      <c r="G66">
        <v>2</v>
      </c>
      <c r="H66">
        <v>321973538.253968</v>
      </c>
      <c r="I66">
        <v>1</v>
      </c>
      <c r="J66">
        <v>0</v>
      </c>
      <c r="K66">
        <v>0</v>
      </c>
      <c r="L66" s="1">
        <v>0</v>
      </c>
      <c r="M66">
        <v>396758169.06313199</v>
      </c>
      <c r="N66">
        <v>7</v>
      </c>
      <c r="O66">
        <v>2300</v>
      </c>
      <c r="P66">
        <v>3.5656033663635101</v>
      </c>
      <c r="Q66">
        <v>3.5656033663635101</v>
      </c>
      <c r="R66">
        <v>0</v>
      </c>
      <c r="S66">
        <v>0</v>
      </c>
      <c r="T66">
        <v>157606.79999999999</v>
      </c>
      <c r="U66">
        <v>44202</v>
      </c>
      <c r="V66">
        <v>2024</v>
      </c>
      <c r="W66" s="2">
        <v>45383</v>
      </c>
      <c r="X66" s="2">
        <v>45308</v>
      </c>
      <c r="Y66" s="4">
        <f t="shared" si="0"/>
        <v>75</v>
      </c>
      <c r="Z66" t="s">
        <v>154</v>
      </c>
      <c r="AA66" t="s">
        <v>47</v>
      </c>
      <c r="AB66" t="s">
        <v>59</v>
      </c>
      <c r="AC66" t="s">
        <v>49</v>
      </c>
      <c r="AD66" t="s">
        <v>145</v>
      </c>
      <c r="AE66" t="s">
        <v>51</v>
      </c>
      <c r="AF66">
        <v>1</v>
      </c>
      <c r="AG66" s="3">
        <v>6.14999999999977E-5</v>
      </c>
      <c r="AH66">
        <v>3.7395666816355102</v>
      </c>
      <c r="AI66">
        <v>3.5656033663635101</v>
      </c>
      <c r="AJ66">
        <v>4.65196452108513E-2</v>
      </c>
      <c r="AK66" s="1">
        <v>1</v>
      </c>
      <c r="AL66">
        <v>0</v>
      </c>
      <c r="AM66" s="1">
        <v>1.2323</v>
      </c>
      <c r="AN66">
        <v>2809687.5</v>
      </c>
      <c r="AO66">
        <v>1</v>
      </c>
      <c r="AP66">
        <v>445353231.15835202</v>
      </c>
      <c r="AQ66">
        <v>1E-3</v>
      </c>
      <c r="AR66" t="s">
        <v>52</v>
      </c>
      <c r="AS66" t="s">
        <v>146</v>
      </c>
    </row>
    <row r="67" spans="1:45" x14ac:dyDescent="0.2">
      <c r="A67" t="s">
        <v>155</v>
      </c>
      <c r="B67">
        <v>0</v>
      </c>
      <c r="C67">
        <v>1</v>
      </c>
      <c r="D67">
        <v>0</v>
      </c>
      <c r="E67">
        <v>0</v>
      </c>
      <c r="F67">
        <v>1E-3</v>
      </c>
      <c r="G67">
        <v>2</v>
      </c>
      <c r="H67">
        <v>355478211.01587301</v>
      </c>
      <c r="I67">
        <v>1</v>
      </c>
      <c r="J67">
        <v>0</v>
      </c>
      <c r="K67">
        <v>0</v>
      </c>
      <c r="L67" s="1">
        <v>0</v>
      </c>
      <c r="M67">
        <v>304440488.17112702</v>
      </c>
      <c r="N67">
        <v>7</v>
      </c>
      <c r="O67">
        <v>2300</v>
      </c>
      <c r="P67">
        <v>3.5611617592706599</v>
      </c>
      <c r="Q67">
        <v>3.5611617592706599</v>
      </c>
      <c r="R67">
        <v>0</v>
      </c>
      <c r="S67">
        <v>0</v>
      </c>
      <c r="T67">
        <v>144529.75</v>
      </c>
      <c r="U67">
        <v>40585</v>
      </c>
      <c r="V67">
        <v>2024</v>
      </c>
      <c r="W67" s="2">
        <v>45384</v>
      </c>
      <c r="X67" s="2">
        <v>45315</v>
      </c>
      <c r="Y67" s="4">
        <f t="shared" ref="Y67:Y103" si="1">W67-X67</f>
        <v>69</v>
      </c>
      <c r="Z67" t="s">
        <v>155</v>
      </c>
      <c r="AA67" t="s">
        <v>47</v>
      </c>
      <c r="AB67" t="s">
        <v>59</v>
      </c>
      <c r="AC67" t="s">
        <v>49</v>
      </c>
      <c r="AD67" t="s">
        <v>145</v>
      </c>
      <c r="AE67" t="s">
        <v>51</v>
      </c>
      <c r="AF67">
        <v>1</v>
      </c>
      <c r="AG67" s="3">
        <v>6.1499999999999205E-5</v>
      </c>
      <c r="AH67">
        <v>3.7395666816354201</v>
      </c>
      <c r="AI67">
        <v>3.5611617592706599</v>
      </c>
      <c r="AJ67">
        <v>4.7707378301577702E-2</v>
      </c>
      <c r="AK67" s="1">
        <v>1</v>
      </c>
      <c r="AL67">
        <v>0</v>
      </c>
      <c r="AM67" s="1">
        <v>0.85640000000000005</v>
      </c>
      <c r="AN67">
        <v>3326015.625</v>
      </c>
      <c r="AO67">
        <v>1</v>
      </c>
      <c r="AP67">
        <v>445353231.15835202</v>
      </c>
      <c r="AQ67">
        <v>1E-3</v>
      </c>
      <c r="AR67" t="s">
        <v>52</v>
      </c>
      <c r="AS67" t="s">
        <v>146</v>
      </c>
    </row>
    <row r="68" spans="1:45" x14ac:dyDescent="0.2">
      <c r="A68" t="s">
        <v>156</v>
      </c>
      <c r="B68">
        <v>0</v>
      </c>
      <c r="C68">
        <v>1</v>
      </c>
      <c r="D68">
        <v>0</v>
      </c>
      <c r="E68">
        <v>0</v>
      </c>
      <c r="F68">
        <v>1E-3</v>
      </c>
      <c r="G68">
        <v>2</v>
      </c>
      <c r="H68">
        <v>360183855.71428603</v>
      </c>
      <c r="I68">
        <v>1</v>
      </c>
      <c r="J68">
        <v>0</v>
      </c>
      <c r="K68">
        <v>0</v>
      </c>
      <c r="L68" s="1">
        <v>0</v>
      </c>
      <c r="M68">
        <v>258694193.066214</v>
      </c>
      <c r="N68">
        <v>7</v>
      </c>
      <c r="O68">
        <v>2300</v>
      </c>
      <c r="P68">
        <v>3.5752316019022099</v>
      </c>
      <c r="Q68">
        <v>3.5752316019022099</v>
      </c>
      <c r="R68">
        <v>0</v>
      </c>
      <c r="S68">
        <v>0</v>
      </c>
      <c r="T68">
        <v>136076.89000000001</v>
      </c>
      <c r="U68">
        <v>38061</v>
      </c>
      <c r="V68">
        <v>2024</v>
      </c>
      <c r="W68" s="2">
        <v>45385</v>
      </c>
      <c r="X68" s="2">
        <v>45322</v>
      </c>
      <c r="Y68" s="4">
        <f t="shared" si="1"/>
        <v>63</v>
      </c>
      <c r="Z68" t="s">
        <v>156</v>
      </c>
      <c r="AA68" t="s">
        <v>47</v>
      </c>
      <c r="AB68" t="s">
        <v>59</v>
      </c>
      <c r="AC68" t="s">
        <v>49</v>
      </c>
      <c r="AD68" t="s">
        <v>145</v>
      </c>
      <c r="AE68" t="s">
        <v>51</v>
      </c>
      <c r="AF68">
        <v>1</v>
      </c>
      <c r="AG68" s="3">
        <v>6.1499999999998703E-5</v>
      </c>
      <c r="AH68">
        <v>3.7395666816354498</v>
      </c>
      <c r="AI68">
        <v>3.5752316019022099</v>
      </c>
      <c r="AJ68">
        <v>4.3944952376506703E-2</v>
      </c>
      <c r="AK68" s="1">
        <v>1</v>
      </c>
      <c r="AL68">
        <v>0</v>
      </c>
      <c r="AM68" s="1">
        <v>0.71819999999999995</v>
      </c>
      <c r="AN68">
        <v>3005703.125</v>
      </c>
      <c r="AO68">
        <v>2</v>
      </c>
      <c r="AP68">
        <v>445353231.15835202</v>
      </c>
      <c r="AQ68">
        <v>1E-3</v>
      </c>
      <c r="AR68" t="s">
        <v>52</v>
      </c>
      <c r="AS68" t="s">
        <v>146</v>
      </c>
    </row>
    <row r="69" spans="1:45" x14ac:dyDescent="0.2">
      <c r="A69" t="s">
        <v>157</v>
      </c>
      <c r="B69">
        <v>0</v>
      </c>
      <c r="C69">
        <v>1</v>
      </c>
      <c r="D69">
        <v>0</v>
      </c>
      <c r="E69">
        <v>0</v>
      </c>
      <c r="F69">
        <v>1E-3</v>
      </c>
      <c r="G69">
        <v>2</v>
      </c>
      <c r="H69">
        <v>357530847.46031803</v>
      </c>
      <c r="I69">
        <v>1</v>
      </c>
      <c r="J69">
        <v>0</v>
      </c>
      <c r="K69">
        <v>0</v>
      </c>
      <c r="L69" s="1">
        <v>0</v>
      </c>
      <c r="M69">
        <v>202387851.72658199</v>
      </c>
      <c r="N69">
        <v>7</v>
      </c>
      <c r="O69">
        <v>2300</v>
      </c>
      <c r="P69">
        <v>3.5561152896762001</v>
      </c>
      <c r="Q69">
        <v>3.5561152896762001</v>
      </c>
      <c r="R69">
        <v>0</v>
      </c>
      <c r="S69">
        <v>0</v>
      </c>
      <c r="T69">
        <v>122454.83</v>
      </c>
      <c r="U69">
        <v>34435</v>
      </c>
      <c r="V69">
        <v>2024</v>
      </c>
      <c r="W69" s="2">
        <v>45386</v>
      </c>
      <c r="X69" s="2">
        <v>45329</v>
      </c>
      <c r="Y69" s="4">
        <f t="shared" si="1"/>
        <v>57</v>
      </c>
      <c r="Z69" t="s">
        <v>157</v>
      </c>
      <c r="AA69" t="s">
        <v>47</v>
      </c>
      <c r="AB69" t="s">
        <v>59</v>
      </c>
      <c r="AC69" t="s">
        <v>49</v>
      </c>
      <c r="AD69" t="s">
        <v>145</v>
      </c>
      <c r="AE69" t="s">
        <v>51</v>
      </c>
      <c r="AF69">
        <v>1</v>
      </c>
      <c r="AG69" s="3">
        <v>6.1500000000010006E-5</v>
      </c>
      <c r="AH69">
        <v>3.7395666816347601</v>
      </c>
      <c r="AI69">
        <v>3.5561152896762001</v>
      </c>
      <c r="AJ69">
        <v>4.9056858073825503E-2</v>
      </c>
      <c r="AK69" s="1">
        <v>1</v>
      </c>
      <c r="AL69">
        <v>0</v>
      </c>
      <c r="AM69" s="1">
        <v>0.56610000000000005</v>
      </c>
      <c r="AN69">
        <v>4702796.875</v>
      </c>
      <c r="AO69">
        <v>2</v>
      </c>
      <c r="AP69">
        <v>445353231.15835202</v>
      </c>
      <c r="AQ69">
        <v>1E-3</v>
      </c>
      <c r="AR69" t="s">
        <v>52</v>
      </c>
      <c r="AS69" t="s">
        <v>146</v>
      </c>
    </row>
    <row r="70" spans="1:45" x14ac:dyDescent="0.2">
      <c r="A70" t="s">
        <v>158</v>
      </c>
      <c r="B70">
        <v>0</v>
      </c>
      <c r="C70">
        <v>1</v>
      </c>
      <c r="D70">
        <v>0</v>
      </c>
      <c r="E70">
        <v>0</v>
      </c>
      <c r="F70">
        <v>1E-3</v>
      </c>
      <c r="G70">
        <v>2</v>
      </c>
      <c r="H70">
        <v>321174786</v>
      </c>
      <c r="I70">
        <v>1</v>
      </c>
      <c r="J70">
        <v>0</v>
      </c>
      <c r="K70">
        <v>0</v>
      </c>
      <c r="L70" s="1">
        <v>0</v>
      </c>
      <c r="M70">
        <v>130386189.60969999</v>
      </c>
      <c r="N70">
        <v>7</v>
      </c>
      <c r="O70">
        <v>2300</v>
      </c>
      <c r="P70">
        <v>3.5381563501494302</v>
      </c>
      <c r="Q70">
        <v>3.5381563501494302</v>
      </c>
      <c r="R70">
        <v>0</v>
      </c>
      <c r="S70">
        <v>0</v>
      </c>
      <c r="T70">
        <v>98258.14</v>
      </c>
      <c r="U70">
        <v>27771</v>
      </c>
      <c r="V70">
        <v>2024</v>
      </c>
      <c r="W70" s="2">
        <v>45387</v>
      </c>
      <c r="X70" s="2">
        <v>45336</v>
      </c>
      <c r="Y70" s="4">
        <f t="shared" si="1"/>
        <v>51</v>
      </c>
      <c r="Z70" t="s">
        <v>158</v>
      </c>
      <c r="AA70" t="s">
        <v>47</v>
      </c>
      <c r="AB70" t="s">
        <v>59</v>
      </c>
      <c r="AC70" t="s">
        <v>49</v>
      </c>
      <c r="AD70" t="s">
        <v>145</v>
      </c>
      <c r="AE70" t="s">
        <v>51</v>
      </c>
      <c r="AF70">
        <v>1</v>
      </c>
      <c r="AG70" s="3">
        <v>6.1500000000007594E-5</v>
      </c>
      <c r="AH70">
        <v>3.7395666816349098</v>
      </c>
      <c r="AI70">
        <v>3.5381563501494302</v>
      </c>
      <c r="AJ70">
        <v>5.38592699722686E-2</v>
      </c>
      <c r="AK70" s="1">
        <v>1</v>
      </c>
      <c r="AL70">
        <v>0</v>
      </c>
      <c r="AM70" s="1">
        <v>0.40600000000000003</v>
      </c>
      <c r="AN70">
        <v>3691756.2500999998</v>
      </c>
      <c r="AO70">
        <v>2</v>
      </c>
      <c r="AP70">
        <v>445353231.15835202</v>
      </c>
      <c r="AQ70">
        <v>1E-3</v>
      </c>
      <c r="AR70" t="s">
        <v>52</v>
      </c>
      <c r="AS70" t="s">
        <v>146</v>
      </c>
    </row>
    <row r="71" spans="1:45" x14ac:dyDescent="0.2">
      <c r="A71" t="s">
        <v>159</v>
      </c>
      <c r="B71">
        <v>0</v>
      </c>
      <c r="C71">
        <v>1</v>
      </c>
      <c r="D71">
        <v>0</v>
      </c>
      <c r="E71">
        <v>0</v>
      </c>
      <c r="F71">
        <v>1E-3</v>
      </c>
      <c r="G71">
        <v>2</v>
      </c>
      <c r="H71">
        <v>262752034</v>
      </c>
      <c r="I71">
        <v>1</v>
      </c>
      <c r="J71">
        <v>0</v>
      </c>
      <c r="K71">
        <v>0</v>
      </c>
      <c r="L71" s="1">
        <v>0</v>
      </c>
      <c r="M71">
        <v>71963413.154499993</v>
      </c>
      <c r="N71">
        <v>7</v>
      </c>
      <c r="O71">
        <v>2300</v>
      </c>
      <c r="P71">
        <v>3.5411348068982198</v>
      </c>
      <c r="Q71">
        <v>3.5411348068982198</v>
      </c>
      <c r="R71">
        <v>0</v>
      </c>
      <c r="S71">
        <v>0</v>
      </c>
      <c r="T71">
        <v>72894.259999999995</v>
      </c>
      <c r="U71">
        <v>20585</v>
      </c>
      <c r="V71">
        <v>2024</v>
      </c>
      <c r="W71" s="2">
        <v>45388</v>
      </c>
      <c r="X71" s="2">
        <v>45343</v>
      </c>
      <c r="Y71" s="4">
        <f t="shared" si="1"/>
        <v>45</v>
      </c>
      <c r="Z71" t="s">
        <v>159</v>
      </c>
      <c r="AA71" t="s">
        <v>47</v>
      </c>
      <c r="AB71" t="s">
        <v>59</v>
      </c>
      <c r="AC71" t="s">
        <v>49</v>
      </c>
      <c r="AD71" t="s">
        <v>145</v>
      </c>
      <c r="AE71" t="s">
        <v>51</v>
      </c>
      <c r="AF71">
        <v>1</v>
      </c>
      <c r="AG71" s="3">
        <v>6.1499999999994705E-5</v>
      </c>
      <c r="AH71">
        <v>3.7395666816356901</v>
      </c>
      <c r="AI71">
        <v>3.5411348068982198</v>
      </c>
      <c r="AJ71">
        <v>5.3062798883070902E-2</v>
      </c>
      <c r="AK71" s="1">
        <v>1</v>
      </c>
      <c r="AL71">
        <v>0</v>
      </c>
      <c r="AM71" s="1">
        <v>0.27389999999999998</v>
      </c>
      <c r="AN71">
        <v>2811795.3125999998</v>
      </c>
      <c r="AO71">
        <v>2</v>
      </c>
      <c r="AP71">
        <v>445353231.15835202</v>
      </c>
      <c r="AQ71">
        <v>1E-3</v>
      </c>
      <c r="AR71" t="s">
        <v>52</v>
      </c>
      <c r="AS71" t="s">
        <v>146</v>
      </c>
    </row>
    <row r="72" spans="1:45" x14ac:dyDescent="0.2">
      <c r="A72" t="s">
        <v>160</v>
      </c>
      <c r="B72">
        <v>0</v>
      </c>
      <c r="C72">
        <v>1</v>
      </c>
      <c r="D72">
        <v>0</v>
      </c>
      <c r="E72">
        <v>0</v>
      </c>
      <c r="F72">
        <v>1E-3</v>
      </c>
      <c r="G72">
        <v>2</v>
      </c>
      <c r="H72">
        <v>278873986</v>
      </c>
      <c r="I72">
        <v>1</v>
      </c>
      <c r="J72">
        <v>0</v>
      </c>
      <c r="K72">
        <v>0</v>
      </c>
      <c r="L72" s="1">
        <v>0</v>
      </c>
      <c r="M72">
        <v>88085363.593500003</v>
      </c>
      <c r="N72">
        <v>28</v>
      </c>
      <c r="O72">
        <v>2300</v>
      </c>
      <c r="P72">
        <v>3.5103704360155898</v>
      </c>
      <c r="Q72">
        <v>3.5103704360155898</v>
      </c>
      <c r="R72">
        <v>0</v>
      </c>
      <c r="S72">
        <v>0</v>
      </c>
      <c r="T72">
        <v>79222.039999999994</v>
      </c>
      <c r="U72">
        <v>22568</v>
      </c>
      <c r="V72">
        <v>2024</v>
      </c>
      <c r="W72" s="2">
        <v>45389</v>
      </c>
      <c r="X72" s="2">
        <v>45350</v>
      </c>
      <c r="Y72" s="4">
        <f t="shared" si="1"/>
        <v>39</v>
      </c>
      <c r="Z72" t="s">
        <v>160</v>
      </c>
      <c r="AA72" t="s">
        <v>47</v>
      </c>
      <c r="AB72" t="s">
        <v>59</v>
      </c>
      <c r="AC72" t="s">
        <v>49</v>
      </c>
      <c r="AD72" t="s">
        <v>145</v>
      </c>
      <c r="AE72" t="s">
        <v>51</v>
      </c>
      <c r="AF72">
        <v>1</v>
      </c>
      <c r="AG72" s="3">
        <v>6.1499999999999299E-5</v>
      </c>
      <c r="AH72">
        <v>3.7186802143805</v>
      </c>
      <c r="AI72">
        <v>3.5103704360155898</v>
      </c>
      <c r="AJ72">
        <v>5.6017126065143703E-2</v>
      </c>
      <c r="AK72" s="1">
        <v>1</v>
      </c>
      <c r="AL72">
        <v>0</v>
      </c>
      <c r="AM72" s="1">
        <v>0.31590000000000001</v>
      </c>
      <c r="AN72">
        <v>9049818.75</v>
      </c>
      <c r="AO72">
        <v>3</v>
      </c>
      <c r="AP72">
        <v>445353231.15835202</v>
      </c>
      <c r="AQ72">
        <v>1E-3</v>
      </c>
      <c r="AR72" t="s">
        <v>52</v>
      </c>
      <c r="AS72" t="s">
        <v>146</v>
      </c>
    </row>
    <row r="73" spans="1:45" x14ac:dyDescent="0.2">
      <c r="A73" t="s">
        <v>161</v>
      </c>
      <c r="B73">
        <v>0</v>
      </c>
      <c r="C73">
        <v>1</v>
      </c>
      <c r="D73">
        <v>0</v>
      </c>
      <c r="E73">
        <v>0</v>
      </c>
      <c r="F73">
        <v>1E-3</v>
      </c>
      <c r="G73">
        <v>2</v>
      </c>
      <c r="H73">
        <v>291503630.69841301</v>
      </c>
      <c r="I73">
        <v>1</v>
      </c>
      <c r="J73">
        <v>0</v>
      </c>
      <c r="K73">
        <v>0</v>
      </c>
      <c r="L73" s="1">
        <v>0</v>
      </c>
      <c r="M73">
        <v>115406938.407287</v>
      </c>
      <c r="N73">
        <v>28</v>
      </c>
      <c r="O73">
        <v>2300</v>
      </c>
      <c r="P73">
        <v>3.5531140859140802</v>
      </c>
      <c r="Q73">
        <v>3.5531140859140802</v>
      </c>
      <c r="R73">
        <v>0</v>
      </c>
      <c r="S73">
        <v>0</v>
      </c>
      <c r="T73">
        <v>88916.68</v>
      </c>
      <c r="U73">
        <v>25025</v>
      </c>
      <c r="V73">
        <v>2024</v>
      </c>
      <c r="W73" s="2">
        <v>45390</v>
      </c>
      <c r="X73" s="2">
        <v>45358</v>
      </c>
      <c r="Y73" s="4">
        <f t="shared" si="1"/>
        <v>32</v>
      </c>
      <c r="Z73" t="s">
        <v>161</v>
      </c>
      <c r="AA73" t="s">
        <v>47</v>
      </c>
      <c r="AB73" t="s">
        <v>59</v>
      </c>
      <c r="AC73" t="s">
        <v>49</v>
      </c>
      <c r="AD73" t="s">
        <v>145</v>
      </c>
      <c r="AE73" t="s">
        <v>51</v>
      </c>
      <c r="AF73">
        <v>1</v>
      </c>
      <c r="AG73" s="3">
        <v>6.1499999999998595E-5</v>
      </c>
      <c r="AH73">
        <v>3.71868021438054</v>
      </c>
      <c r="AI73">
        <v>3.5531140859140802</v>
      </c>
      <c r="AJ73">
        <v>4.4522819635364197E-2</v>
      </c>
      <c r="AK73" s="1">
        <v>1</v>
      </c>
      <c r="AL73">
        <v>0</v>
      </c>
      <c r="AM73" s="1">
        <v>0.39589999999999997</v>
      </c>
      <c r="AN73">
        <v>6497724.5</v>
      </c>
      <c r="AO73">
        <v>3</v>
      </c>
      <c r="AP73">
        <v>445353231.15835202</v>
      </c>
      <c r="AQ73">
        <v>1E-3</v>
      </c>
      <c r="AR73" t="s">
        <v>52</v>
      </c>
      <c r="AS73" t="s">
        <v>146</v>
      </c>
    </row>
    <row r="74" spans="1:45" x14ac:dyDescent="0.2">
      <c r="A74" t="s">
        <v>162</v>
      </c>
      <c r="B74">
        <v>0</v>
      </c>
      <c r="C74">
        <v>1</v>
      </c>
      <c r="D74">
        <v>0</v>
      </c>
      <c r="E74">
        <v>0</v>
      </c>
      <c r="F74">
        <v>1E-3</v>
      </c>
      <c r="G74">
        <v>2</v>
      </c>
      <c r="H74">
        <v>286688366.69841301</v>
      </c>
      <c r="I74">
        <v>1</v>
      </c>
      <c r="J74">
        <v>0</v>
      </c>
      <c r="K74">
        <v>0</v>
      </c>
      <c r="L74" s="1">
        <v>0</v>
      </c>
      <c r="M74">
        <v>132693747.122686</v>
      </c>
      <c r="N74">
        <v>28</v>
      </c>
      <c r="O74">
        <v>2300</v>
      </c>
      <c r="P74">
        <v>3.5603183157568199</v>
      </c>
      <c r="Q74">
        <v>3.5603183157568199</v>
      </c>
      <c r="R74">
        <v>0</v>
      </c>
      <c r="S74">
        <v>0</v>
      </c>
      <c r="T74">
        <v>91827.73</v>
      </c>
      <c r="U74">
        <v>25792</v>
      </c>
      <c r="V74">
        <v>2024</v>
      </c>
      <c r="W74" s="2">
        <v>45391</v>
      </c>
      <c r="X74" s="2">
        <v>45365</v>
      </c>
      <c r="Y74" s="4">
        <f t="shared" si="1"/>
        <v>26</v>
      </c>
      <c r="Z74" t="s">
        <v>162</v>
      </c>
      <c r="AA74" t="s">
        <v>47</v>
      </c>
      <c r="AB74" t="s">
        <v>59</v>
      </c>
      <c r="AC74" t="s">
        <v>49</v>
      </c>
      <c r="AD74" t="s">
        <v>145</v>
      </c>
      <c r="AE74" t="s">
        <v>51</v>
      </c>
      <c r="AF74">
        <v>1</v>
      </c>
      <c r="AG74" s="3">
        <v>6.1500000000005601E-5</v>
      </c>
      <c r="AH74">
        <v>3.7096903015472402</v>
      </c>
      <c r="AI74">
        <v>3.5603183157568199</v>
      </c>
      <c r="AJ74">
        <v>4.0265351996667503E-2</v>
      </c>
      <c r="AK74" s="1">
        <v>1</v>
      </c>
      <c r="AL74">
        <v>0</v>
      </c>
      <c r="AM74" s="1">
        <v>0.46289999999999998</v>
      </c>
      <c r="AN74">
        <v>6671246.75</v>
      </c>
      <c r="AO74">
        <v>3</v>
      </c>
      <c r="AP74">
        <v>445353231.15835202</v>
      </c>
      <c r="AQ74">
        <v>1E-3</v>
      </c>
      <c r="AR74" t="s">
        <v>52</v>
      </c>
      <c r="AS74" t="s">
        <v>146</v>
      </c>
    </row>
    <row r="75" spans="1:45" x14ac:dyDescent="0.2">
      <c r="A75" t="s">
        <v>163</v>
      </c>
      <c r="B75">
        <v>0</v>
      </c>
      <c r="C75">
        <v>1</v>
      </c>
      <c r="D75">
        <v>0</v>
      </c>
      <c r="E75">
        <v>0</v>
      </c>
      <c r="F75">
        <v>1E-3</v>
      </c>
      <c r="G75">
        <v>2</v>
      </c>
      <c r="H75">
        <v>273656887.83522302</v>
      </c>
      <c r="I75">
        <v>1</v>
      </c>
      <c r="J75">
        <v>0</v>
      </c>
      <c r="K75">
        <v>0</v>
      </c>
      <c r="L75" s="1">
        <v>0</v>
      </c>
      <c r="M75">
        <v>53595144.6850769</v>
      </c>
      <c r="N75">
        <v>28</v>
      </c>
      <c r="O75">
        <v>2300</v>
      </c>
      <c r="P75">
        <v>3.5444136937295001</v>
      </c>
      <c r="Q75">
        <v>3.5444136937295001</v>
      </c>
      <c r="R75">
        <v>0</v>
      </c>
      <c r="S75">
        <v>0</v>
      </c>
      <c r="T75">
        <v>71334.87</v>
      </c>
      <c r="U75">
        <v>20126</v>
      </c>
      <c r="V75">
        <v>2024</v>
      </c>
      <c r="W75" s="2">
        <v>45757</v>
      </c>
      <c r="X75" s="2">
        <v>45372</v>
      </c>
      <c r="Y75" s="4">
        <f t="shared" si="1"/>
        <v>385</v>
      </c>
      <c r="Z75" t="s">
        <v>163</v>
      </c>
      <c r="AA75" t="s">
        <v>47</v>
      </c>
      <c r="AB75" t="s">
        <v>59</v>
      </c>
      <c r="AC75" t="s">
        <v>49</v>
      </c>
      <c r="AD75" t="s">
        <v>145</v>
      </c>
      <c r="AE75" t="s">
        <v>51</v>
      </c>
      <c r="AF75">
        <v>1</v>
      </c>
      <c r="AG75" s="3">
        <v>6.1500000000004693E-5</v>
      </c>
      <c r="AH75">
        <v>3.7033568281926401</v>
      </c>
      <c r="AI75">
        <v>3.5444136937295001</v>
      </c>
      <c r="AJ75">
        <v>4.29186659122755E-2</v>
      </c>
      <c r="AK75" s="1">
        <v>1</v>
      </c>
      <c r="AL75">
        <v>0</v>
      </c>
      <c r="AM75" s="1">
        <v>0.1958</v>
      </c>
      <c r="AN75">
        <v>5731783.4375</v>
      </c>
      <c r="AO75">
        <v>3</v>
      </c>
      <c r="AP75">
        <v>445353231.15835202</v>
      </c>
      <c r="AQ75">
        <v>1E-3</v>
      </c>
      <c r="AR75" t="s">
        <v>52</v>
      </c>
      <c r="AS75" t="s">
        <v>146</v>
      </c>
    </row>
    <row r="76" spans="1:45" x14ac:dyDescent="0.2">
      <c r="A76" t="s">
        <v>164</v>
      </c>
      <c r="B76">
        <v>0</v>
      </c>
      <c r="C76">
        <v>1</v>
      </c>
      <c r="D76">
        <v>0</v>
      </c>
      <c r="E76">
        <v>0</v>
      </c>
      <c r="F76">
        <v>1E-3</v>
      </c>
      <c r="G76">
        <v>2</v>
      </c>
      <c r="H76">
        <v>331439751.77626598</v>
      </c>
      <c r="I76">
        <v>1</v>
      </c>
      <c r="J76">
        <v>0</v>
      </c>
      <c r="K76">
        <v>0</v>
      </c>
      <c r="L76" s="1">
        <v>0</v>
      </c>
      <c r="M76">
        <v>51958622.207433999</v>
      </c>
      <c r="N76">
        <v>28</v>
      </c>
      <c r="O76">
        <v>2300</v>
      </c>
      <c r="P76">
        <v>3.5556431570465201</v>
      </c>
      <c r="Q76">
        <v>3.5556431570465201</v>
      </c>
      <c r="R76">
        <v>0</v>
      </c>
      <c r="S76">
        <v>0</v>
      </c>
      <c r="T76">
        <v>83838.509999999995</v>
      </c>
      <c r="U76">
        <v>23579</v>
      </c>
      <c r="V76">
        <v>2024</v>
      </c>
      <c r="W76" s="2">
        <v>45758</v>
      </c>
      <c r="X76" s="2">
        <v>45575</v>
      </c>
      <c r="Y76" s="4">
        <f t="shared" si="1"/>
        <v>183</v>
      </c>
      <c r="Z76" t="s">
        <v>164</v>
      </c>
      <c r="AA76" t="s">
        <v>47</v>
      </c>
      <c r="AB76" t="s">
        <v>59</v>
      </c>
      <c r="AC76" t="s">
        <v>49</v>
      </c>
      <c r="AD76" t="s">
        <v>145</v>
      </c>
      <c r="AE76" t="s">
        <v>51</v>
      </c>
      <c r="AF76">
        <v>1</v>
      </c>
      <c r="AG76" s="3">
        <v>6.1500000000006306E-5</v>
      </c>
      <c r="AH76">
        <v>3.7390507236317401</v>
      </c>
      <c r="AI76">
        <v>3.5556431570465201</v>
      </c>
      <c r="AJ76">
        <v>4.9051906524305099E-2</v>
      </c>
      <c r="AK76" s="1">
        <v>1</v>
      </c>
      <c r="AL76">
        <v>0</v>
      </c>
      <c r="AM76" s="1">
        <v>0.15679999999999999</v>
      </c>
      <c r="AN76">
        <v>5173779.5625</v>
      </c>
      <c r="AO76">
        <v>10</v>
      </c>
      <c r="AP76">
        <v>445353231.15835202</v>
      </c>
      <c r="AQ76">
        <v>1E-3</v>
      </c>
      <c r="AR76" t="s">
        <v>52</v>
      </c>
      <c r="AS76" t="s">
        <v>146</v>
      </c>
    </row>
    <row r="77" spans="1:45" x14ac:dyDescent="0.2">
      <c r="A77" t="s">
        <v>165</v>
      </c>
      <c r="B77">
        <v>0</v>
      </c>
      <c r="C77">
        <v>1</v>
      </c>
      <c r="D77">
        <v>0</v>
      </c>
      <c r="E77">
        <v>0</v>
      </c>
      <c r="F77">
        <v>1E-3</v>
      </c>
      <c r="G77">
        <v>2</v>
      </c>
      <c r="H77">
        <v>325731696</v>
      </c>
      <c r="I77">
        <v>1</v>
      </c>
      <c r="J77">
        <v>0</v>
      </c>
      <c r="K77">
        <v>0</v>
      </c>
      <c r="L77" s="1">
        <v>0</v>
      </c>
      <c r="M77">
        <v>103666677.98369899</v>
      </c>
      <c r="N77">
        <v>28</v>
      </c>
      <c r="O77">
        <v>2300</v>
      </c>
      <c r="P77">
        <v>3.4092025143895701</v>
      </c>
      <c r="Q77">
        <v>3.4092025143895701</v>
      </c>
      <c r="R77">
        <v>0</v>
      </c>
      <c r="S77">
        <v>0</v>
      </c>
      <c r="T77">
        <v>90030.22</v>
      </c>
      <c r="U77">
        <v>26408</v>
      </c>
      <c r="V77">
        <v>2024</v>
      </c>
      <c r="W77" s="2">
        <v>45759</v>
      </c>
      <c r="X77" s="2">
        <v>45582</v>
      </c>
      <c r="Y77" s="4">
        <f t="shared" si="1"/>
        <v>177</v>
      </c>
      <c r="Z77" t="s">
        <v>165</v>
      </c>
      <c r="AA77" t="s">
        <v>47</v>
      </c>
      <c r="AB77" t="s">
        <v>59</v>
      </c>
      <c r="AC77" t="s">
        <v>49</v>
      </c>
      <c r="AD77" t="s">
        <v>145</v>
      </c>
      <c r="AE77" t="s">
        <v>51</v>
      </c>
      <c r="AF77">
        <v>1</v>
      </c>
      <c r="AG77" s="3">
        <v>6.1500000000005696E-5</v>
      </c>
      <c r="AH77">
        <v>3.73905072363178</v>
      </c>
      <c r="AI77">
        <v>3.4092025143895701</v>
      </c>
      <c r="AJ77">
        <v>8.8217099371634397E-2</v>
      </c>
      <c r="AK77" s="1">
        <v>1</v>
      </c>
      <c r="AL77">
        <v>0</v>
      </c>
      <c r="AM77" s="1">
        <v>0.31830000000000003</v>
      </c>
      <c r="AN77">
        <v>816887.5</v>
      </c>
      <c r="AO77">
        <v>10</v>
      </c>
      <c r="AP77">
        <v>445353231.15835202</v>
      </c>
      <c r="AQ77">
        <v>1E-3</v>
      </c>
      <c r="AR77" t="s">
        <v>52</v>
      </c>
      <c r="AS77" t="s">
        <v>146</v>
      </c>
    </row>
    <row r="78" spans="1:45" x14ac:dyDescent="0.2">
      <c r="A78" t="s">
        <v>166</v>
      </c>
      <c r="B78">
        <v>0</v>
      </c>
      <c r="C78">
        <v>1</v>
      </c>
      <c r="D78">
        <v>0</v>
      </c>
      <c r="E78">
        <v>0</v>
      </c>
      <c r="F78">
        <v>1E-3</v>
      </c>
      <c r="G78">
        <v>2</v>
      </c>
      <c r="H78">
        <v>325731696</v>
      </c>
      <c r="I78">
        <v>1</v>
      </c>
      <c r="J78">
        <v>0</v>
      </c>
      <c r="K78">
        <v>0</v>
      </c>
      <c r="L78" s="1">
        <v>0</v>
      </c>
      <c r="M78">
        <v>59178873.105700001</v>
      </c>
      <c r="N78">
        <v>28</v>
      </c>
      <c r="O78">
        <v>2300</v>
      </c>
      <c r="P78">
        <v>3.4556902669820801</v>
      </c>
      <c r="Q78">
        <v>3.4556902669820801</v>
      </c>
      <c r="R78">
        <v>0</v>
      </c>
      <c r="S78">
        <v>0</v>
      </c>
      <c r="T78">
        <v>81803.100000000006</v>
      </c>
      <c r="U78">
        <v>23672</v>
      </c>
      <c r="V78">
        <v>2024</v>
      </c>
      <c r="W78" s="2">
        <v>45760</v>
      </c>
      <c r="X78" s="2">
        <v>45589</v>
      </c>
      <c r="Y78" s="4">
        <f t="shared" si="1"/>
        <v>171</v>
      </c>
      <c r="Z78" t="s">
        <v>166</v>
      </c>
      <c r="AA78" t="s">
        <v>47</v>
      </c>
      <c r="AB78" t="s">
        <v>59</v>
      </c>
      <c r="AC78" t="s">
        <v>49</v>
      </c>
      <c r="AD78" t="s">
        <v>145</v>
      </c>
      <c r="AE78" t="s">
        <v>51</v>
      </c>
      <c r="AF78">
        <v>1</v>
      </c>
      <c r="AG78" s="3">
        <v>6.14999999999985E-5</v>
      </c>
      <c r="AH78">
        <v>3.7390507236322201</v>
      </c>
      <c r="AI78">
        <v>3.4556902669820801</v>
      </c>
      <c r="AJ78">
        <v>7.57840632808712E-2</v>
      </c>
      <c r="AK78" s="1">
        <v>1</v>
      </c>
      <c r="AL78">
        <v>0</v>
      </c>
      <c r="AM78" s="1">
        <v>0.1817</v>
      </c>
      <c r="AN78">
        <v>852031.25</v>
      </c>
      <c r="AO78">
        <v>10</v>
      </c>
      <c r="AP78">
        <v>445353231.15835202</v>
      </c>
      <c r="AQ78">
        <v>1E-3</v>
      </c>
      <c r="AR78" t="s">
        <v>52</v>
      </c>
      <c r="AS78" t="s">
        <v>146</v>
      </c>
    </row>
    <row r="79" spans="1:45" x14ac:dyDescent="0.2">
      <c r="A79" t="s">
        <v>167</v>
      </c>
      <c r="B79">
        <v>0</v>
      </c>
      <c r="C79">
        <v>1</v>
      </c>
      <c r="D79">
        <v>0</v>
      </c>
      <c r="E79">
        <v>0</v>
      </c>
      <c r="F79">
        <v>1E-3</v>
      </c>
      <c r="G79">
        <v>2</v>
      </c>
      <c r="H79">
        <v>325731696</v>
      </c>
      <c r="I79">
        <v>1</v>
      </c>
      <c r="J79">
        <v>0</v>
      </c>
      <c r="K79">
        <v>0</v>
      </c>
      <c r="L79" s="1">
        <v>0</v>
      </c>
      <c r="M79">
        <v>40333344.650399901</v>
      </c>
      <c r="N79">
        <v>28</v>
      </c>
      <c r="O79">
        <v>2300</v>
      </c>
      <c r="P79">
        <v>3.4935232976502402</v>
      </c>
      <c r="Q79">
        <v>3.4935232976502402</v>
      </c>
      <c r="R79">
        <v>0</v>
      </c>
      <c r="S79">
        <v>0</v>
      </c>
      <c r="T79">
        <v>78649.69</v>
      </c>
      <c r="U79">
        <v>22513</v>
      </c>
      <c r="V79">
        <v>2025</v>
      </c>
      <c r="W79" s="2">
        <v>45761</v>
      </c>
      <c r="X79" s="2">
        <v>45596</v>
      </c>
      <c r="Y79" s="4">
        <f t="shared" si="1"/>
        <v>165</v>
      </c>
      <c r="Z79" t="s">
        <v>167</v>
      </c>
      <c r="AA79" t="s">
        <v>47</v>
      </c>
      <c r="AB79" t="s">
        <v>59</v>
      </c>
      <c r="AC79" t="s">
        <v>49</v>
      </c>
      <c r="AD79" t="s">
        <v>145</v>
      </c>
      <c r="AE79" t="s">
        <v>51</v>
      </c>
      <c r="AF79">
        <v>1</v>
      </c>
      <c r="AG79" s="3">
        <v>6.1500000000001102E-5</v>
      </c>
      <c r="AH79">
        <v>3.7390507236320598</v>
      </c>
      <c r="AI79">
        <v>3.4935232976502402</v>
      </c>
      <c r="AJ79">
        <v>6.5665711467887494E-2</v>
      </c>
      <c r="AK79" s="1">
        <v>1</v>
      </c>
      <c r="AL79">
        <v>0</v>
      </c>
      <c r="AM79" s="1">
        <v>0.12379999999999999</v>
      </c>
      <c r="AN79">
        <v>884812.5</v>
      </c>
      <c r="AO79">
        <v>11</v>
      </c>
      <c r="AP79">
        <v>445353231.15835202</v>
      </c>
      <c r="AQ79">
        <v>1E-3</v>
      </c>
      <c r="AR79" t="s">
        <v>52</v>
      </c>
      <c r="AS79" t="s">
        <v>146</v>
      </c>
    </row>
    <row r="80" spans="1:45" x14ac:dyDescent="0.2">
      <c r="A80" t="s">
        <v>168</v>
      </c>
      <c r="B80">
        <v>0</v>
      </c>
      <c r="C80">
        <v>1</v>
      </c>
      <c r="D80">
        <v>0</v>
      </c>
      <c r="E80">
        <v>0</v>
      </c>
      <c r="F80">
        <v>1E-3</v>
      </c>
      <c r="G80">
        <v>2</v>
      </c>
      <c r="H80">
        <v>325731696</v>
      </c>
      <c r="I80">
        <v>1</v>
      </c>
      <c r="J80">
        <v>0</v>
      </c>
      <c r="K80">
        <v>0</v>
      </c>
      <c r="L80" s="1">
        <v>0</v>
      </c>
      <c r="M80">
        <v>34219523.512199998</v>
      </c>
      <c r="N80">
        <v>28</v>
      </c>
      <c r="O80">
        <v>670</v>
      </c>
      <c r="P80">
        <v>3.5047544834440001</v>
      </c>
      <c r="Q80">
        <v>3.5047544834440001</v>
      </c>
      <c r="R80">
        <v>0</v>
      </c>
      <c r="S80">
        <v>0</v>
      </c>
      <c r="T80">
        <v>77584.75</v>
      </c>
      <c r="U80">
        <v>22137</v>
      </c>
      <c r="V80">
        <v>2025</v>
      </c>
      <c r="W80" s="2">
        <v>45762</v>
      </c>
      <c r="X80" s="2">
        <v>45603</v>
      </c>
      <c r="Y80" s="4">
        <f t="shared" si="1"/>
        <v>159</v>
      </c>
      <c r="Z80" t="s">
        <v>168</v>
      </c>
      <c r="AA80" t="s">
        <v>47</v>
      </c>
      <c r="AB80" t="s">
        <v>59</v>
      </c>
      <c r="AC80" t="s">
        <v>49</v>
      </c>
      <c r="AD80" t="s">
        <v>145</v>
      </c>
      <c r="AE80" t="s">
        <v>51</v>
      </c>
      <c r="AF80">
        <v>1</v>
      </c>
      <c r="AG80" s="3">
        <v>6.1499999999999096E-5</v>
      </c>
      <c r="AH80">
        <v>3.7390507236321802</v>
      </c>
      <c r="AI80">
        <v>3.5047544834440001</v>
      </c>
      <c r="AJ80">
        <v>6.2661958209696694E-2</v>
      </c>
      <c r="AK80" s="1">
        <v>1</v>
      </c>
      <c r="AL80">
        <v>0</v>
      </c>
      <c r="AM80" s="1">
        <v>0.1051</v>
      </c>
      <c r="AN80">
        <v>1084057.8125</v>
      </c>
      <c r="AO80">
        <v>11</v>
      </c>
      <c r="AP80">
        <v>445353231.15835202</v>
      </c>
      <c r="AQ80">
        <v>1E-3</v>
      </c>
      <c r="AR80" t="s">
        <v>52</v>
      </c>
      <c r="AS80" t="s">
        <v>146</v>
      </c>
    </row>
    <row r="81" spans="1:45" x14ac:dyDescent="0.2">
      <c r="A81" t="s">
        <v>169</v>
      </c>
      <c r="B81">
        <v>0</v>
      </c>
      <c r="C81">
        <v>1</v>
      </c>
      <c r="D81">
        <v>0</v>
      </c>
      <c r="E81">
        <v>0</v>
      </c>
      <c r="F81">
        <v>1E-3</v>
      </c>
      <c r="G81">
        <v>2</v>
      </c>
      <c r="H81">
        <v>325731696</v>
      </c>
      <c r="I81">
        <v>1</v>
      </c>
      <c r="J81">
        <v>0</v>
      </c>
      <c r="K81">
        <v>0</v>
      </c>
      <c r="L81" s="1">
        <v>0</v>
      </c>
      <c r="M81">
        <v>26219523.512200002</v>
      </c>
      <c r="N81">
        <v>28</v>
      </c>
      <c r="O81">
        <v>5600</v>
      </c>
      <c r="P81">
        <v>3.5207179487179401</v>
      </c>
      <c r="Q81">
        <v>3.5207179487179401</v>
      </c>
      <c r="R81">
        <v>0</v>
      </c>
      <c r="S81">
        <v>0</v>
      </c>
      <c r="T81">
        <v>76205.94</v>
      </c>
      <c r="U81">
        <v>21645</v>
      </c>
      <c r="V81">
        <v>2025</v>
      </c>
      <c r="W81" s="2">
        <v>45763</v>
      </c>
      <c r="X81" s="2">
        <v>45610</v>
      </c>
      <c r="Y81" s="4">
        <f t="shared" si="1"/>
        <v>153</v>
      </c>
      <c r="Z81" t="s">
        <v>169</v>
      </c>
      <c r="AA81" t="s">
        <v>47</v>
      </c>
      <c r="AB81" t="s">
        <v>59</v>
      </c>
      <c r="AC81" t="s">
        <v>49</v>
      </c>
      <c r="AD81" t="s">
        <v>145</v>
      </c>
      <c r="AE81" t="s">
        <v>51</v>
      </c>
      <c r="AF81">
        <v>1</v>
      </c>
      <c r="AG81" s="3">
        <v>6.1499999999999096E-5</v>
      </c>
      <c r="AH81">
        <v>3.7390507236321802</v>
      </c>
      <c r="AI81">
        <v>3.5207179487179401</v>
      </c>
      <c r="AJ81">
        <v>5.8392568342090799E-2</v>
      </c>
      <c r="AK81" s="1">
        <v>1</v>
      </c>
      <c r="AL81">
        <v>0</v>
      </c>
      <c r="AM81" s="1">
        <v>8.0500000000000002E-2</v>
      </c>
      <c r="AN81">
        <v>913593.75</v>
      </c>
      <c r="AO81">
        <v>11</v>
      </c>
      <c r="AP81">
        <v>445353231.15835202</v>
      </c>
      <c r="AQ81">
        <v>1E-3</v>
      </c>
      <c r="AR81" t="s">
        <v>52</v>
      </c>
      <c r="AS81" t="s">
        <v>146</v>
      </c>
    </row>
    <row r="82" spans="1:45" x14ac:dyDescent="0.2">
      <c r="A82" t="s">
        <v>170</v>
      </c>
      <c r="B82">
        <v>0</v>
      </c>
      <c r="C82">
        <v>1</v>
      </c>
      <c r="D82">
        <v>0</v>
      </c>
      <c r="E82">
        <v>0</v>
      </c>
      <c r="F82">
        <v>1E-3</v>
      </c>
      <c r="G82">
        <v>2</v>
      </c>
      <c r="H82">
        <v>245593504</v>
      </c>
      <c r="I82">
        <v>1</v>
      </c>
      <c r="J82">
        <v>0</v>
      </c>
      <c r="K82">
        <v>0</v>
      </c>
      <c r="L82" s="1">
        <v>0</v>
      </c>
      <c r="M82">
        <v>275999991.935</v>
      </c>
      <c r="N82">
        <v>28</v>
      </c>
      <c r="O82">
        <v>5600</v>
      </c>
      <c r="P82">
        <v>2.79171737639503</v>
      </c>
      <c r="Q82">
        <v>2.79171737639503</v>
      </c>
      <c r="R82">
        <v>0</v>
      </c>
      <c r="S82">
        <v>0</v>
      </c>
      <c r="T82">
        <v>89552.709999999905</v>
      </c>
      <c r="U82">
        <v>32078</v>
      </c>
      <c r="V82">
        <v>2025</v>
      </c>
      <c r="W82" s="2">
        <v>45764</v>
      </c>
      <c r="X82" s="2">
        <v>45694</v>
      </c>
      <c r="Y82" s="4">
        <f t="shared" si="1"/>
        <v>70</v>
      </c>
      <c r="Z82" t="s">
        <v>170</v>
      </c>
      <c r="AA82" t="s">
        <v>47</v>
      </c>
      <c r="AB82" t="s">
        <v>59</v>
      </c>
      <c r="AC82" t="s">
        <v>49</v>
      </c>
      <c r="AD82" t="s">
        <v>145</v>
      </c>
      <c r="AE82" t="s">
        <v>51</v>
      </c>
      <c r="AF82">
        <v>1</v>
      </c>
      <c r="AG82" s="3">
        <v>6.1499999999995207E-5</v>
      </c>
      <c r="AH82">
        <v>3.80856789229078</v>
      </c>
      <c r="AI82">
        <v>2.79171737639503</v>
      </c>
      <c r="AJ82">
        <v>0.26699025582661501</v>
      </c>
      <c r="AK82" s="1">
        <v>1</v>
      </c>
      <c r="AL82">
        <v>0</v>
      </c>
      <c r="AM82" s="1">
        <v>1.1237999999999999</v>
      </c>
      <c r="AN82">
        <v>841093.75</v>
      </c>
      <c r="AO82">
        <v>2</v>
      </c>
      <c r="AP82">
        <v>232022070.857142</v>
      </c>
      <c r="AQ82">
        <v>1E-3</v>
      </c>
      <c r="AR82" t="s">
        <v>52</v>
      </c>
      <c r="AS82" t="s">
        <v>146</v>
      </c>
    </row>
    <row r="83" spans="1:45" x14ac:dyDescent="0.2">
      <c r="A83" t="s">
        <v>171</v>
      </c>
      <c r="B83">
        <v>0</v>
      </c>
      <c r="C83">
        <v>1</v>
      </c>
      <c r="D83">
        <v>0</v>
      </c>
      <c r="E83">
        <v>0</v>
      </c>
      <c r="F83">
        <v>1E-3</v>
      </c>
      <c r="G83">
        <v>2</v>
      </c>
      <c r="H83">
        <v>233731712</v>
      </c>
      <c r="I83">
        <v>1</v>
      </c>
      <c r="J83">
        <v>0</v>
      </c>
      <c r="K83">
        <v>0</v>
      </c>
      <c r="L83" s="1">
        <v>0</v>
      </c>
      <c r="M83">
        <v>396886174.1789</v>
      </c>
      <c r="N83">
        <v>7</v>
      </c>
      <c r="O83">
        <v>5600</v>
      </c>
      <c r="P83">
        <v>2.4624368924528701</v>
      </c>
      <c r="Q83">
        <v>2.4624368924528701</v>
      </c>
      <c r="R83">
        <v>0</v>
      </c>
      <c r="S83">
        <v>0</v>
      </c>
      <c r="T83">
        <v>95500.69</v>
      </c>
      <c r="U83">
        <v>38783</v>
      </c>
      <c r="V83">
        <v>2025</v>
      </c>
      <c r="W83" s="2">
        <v>45765</v>
      </c>
      <c r="X83" s="2">
        <v>45701</v>
      </c>
      <c r="Y83" s="4">
        <f t="shared" si="1"/>
        <v>64</v>
      </c>
      <c r="Z83" t="s">
        <v>171</v>
      </c>
      <c r="AA83" t="s">
        <v>47</v>
      </c>
      <c r="AB83" t="s">
        <v>59</v>
      </c>
      <c r="AC83" t="s">
        <v>49</v>
      </c>
      <c r="AD83" t="s">
        <v>145</v>
      </c>
      <c r="AE83" t="s">
        <v>51</v>
      </c>
      <c r="AF83">
        <v>1</v>
      </c>
      <c r="AG83" s="3">
        <v>6.1499999999996196E-5</v>
      </c>
      <c r="AH83">
        <v>3.80856789229072</v>
      </c>
      <c r="AI83">
        <v>2.4624368924528701</v>
      </c>
      <c r="AJ83">
        <v>0.35344807757337698</v>
      </c>
      <c r="AK83" s="1">
        <v>1</v>
      </c>
      <c r="AL83">
        <v>0</v>
      </c>
      <c r="AM83" s="1">
        <v>1.698</v>
      </c>
      <c r="AN83">
        <v>1163281.25</v>
      </c>
      <c r="AO83">
        <v>2</v>
      </c>
      <c r="AP83">
        <v>232022070.857142</v>
      </c>
      <c r="AQ83">
        <v>1E-3</v>
      </c>
      <c r="AR83" t="s">
        <v>52</v>
      </c>
      <c r="AS83" t="s">
        <v>146</v>
      </c>
    </row>
    <row r="84" spans="1:45" x14ac:dyDescent="0.2">
      <c r="A84" t="s">
        <v>172</v>
      </c>
      <c r="B84">
        <v>0</v>
      </c>
      <c r="C84">
        <v>1</v>
      </c>
      <c r="D84">
        <v>0</v>
      </c>
      <c r="E84">
        <v>0</v>
      </c>
      <c r="F84">
        <v>1E-3</v>
      </c>
      <c r="G84">
        <v>2</v>
      </c>
      <c r="H84">
        <v>233731712</v>
      </c>
      <c r="I84">
        <v>1</v>
      </c>
      <c r="J84">
        <v>0</v>
      </c>
      <c r="K84">
        <v>0</v>
      </c>
      <c r="L84" s="1">
        <v>0</v>
      </c>
      <c r="M84">
        <v>128691052.2277</v>
      </c>
      <c r="N84">
        <v>7</v>
      </c>
      <c r="O84">
        <v>5600</v>
      </c>
      <c r="P84">
        <v>3.10147696173</v>
      </c>
      <c r="Q84">
        <v>3.10147696173</v>
      </c>
      <c r="R84">
        <v>0</v>
      </c>
      <c r="S84">
        <v>0</v>
      </c>
      <c r="T84">
        <v>69128.819999999905</v>
      </c>
      <c r="U84">
        <v>22289</v>
      </c>
      <c r="V84">
        <v>2025</v>
      </c>
      <c r="W84" s="2">
        <v>45766</v>
      </c>
      <c r="X84" s="2">
        <v>45708</v>
      </c>
      <c r="Y84" s="4">
        <f t="shared" si="1"/>
        <v>58</v>
      </c>
      <c r="Z84" t="s">
        <v>172</v>
      </c>
      <c r="AA84" t="s">
        <v>47</v>
      </c>
      <c r="AB84" t="s">
        <v>59</v>
      </c>
      <c r="AC84" t="s">
        <v>49</v>
      </c>
      <c r="AD84" t="s">
        <v>145</v>
      </c>
      <c r="AE84" t="s">
        <v>51</v>
      </c>
      <c r="AF84">
        <v>1</v>
      </c>
      <c r="AG84" s="3">
        <v>6.1499999999990206E-5</v>
      </c>
      <c r="AH84">
        <v>3.8085678922910899</v>
      </c>
      <c r="AI84">
        <v>3.10147696173</v>
      </c>
      <c r="AJ84">
        <v>0.18565795610269001</v>
      </c>
      <c r="AK84" s="1">
        <v>1</v>
      </c>
      <c r="AL84">
        <v>0</v>
      </c>
      <c r="AM84" s="1">
        <v>0.55059999999999998</v>
      </c>
      <c r="AN84">
        <v>941448.4375</v>
      </c>
      <c r="AO84">
        <v>2</v>
      </c>
      <c r="AP84">
        <v>232022070.857142</v>
      </c>
      <c r="AQ84">
        <v>1E-3</v>
      </c>
      <c r="AR84" t="s">
        <v>52</v>
      </c>
      <c r="AS84" t="s">
        <v>146</v>
      </c>
    </row>
    <row r="85" spans="1:45" x14ac:dyDescent="0.2">
      <c r="A85" t="s">
        <v>173</v>
      </c>
      <c r="B85">
        <v>0</v>
      </c>
      <c r="C85">
        <v>1</v>
      </c>
      <c r="D85">
        <v>0</v>
      </c>
      <c r="E85">
        <v>0</v>
      </c>
      <c r="F85">
        <v>1E-3</v>
      </c>
      <c r="G85">
        <v>2</v>
      </c>
      <c r="H85">
        <v>233731712</v>
      </c>
      <c r="I85">
        <v>1</v>
      </c>
      <c r="J85">
        <v>0</v>
      </c>
      <c r="K85">
        <v>0</v>
      </c>
      <c r="L85" s="1">
        <v>0</v>
      </c>
      <c r="M85">
        <v>52577231.089399897</v>
      </c>
      <c r="N85">
        <v>7</v>
      </c>
      <c r="O85">
        <v>5600</v>
      </c>
      <c r="P85">
        <v>3.4446126760563298</v>
      </c>
      <c r="Q85">
        <v>3.4446126760563298</v>
      </c>
      <c r="R85">
        <v>0</v>
      </c>
      <c r="S85">
        <v>0</v>
      </c>
      <c r="T85">
        <v>60652.74</v>
      </c>
      <c r="U85">
        <v>17608</v>
      </c>
      <c r="V85">
        <v>2025</v>
      </c>
      <c r="W85" s="2">
        <v>45767</v>
      </c>
      <c r="X85" s="2">
        <v>45715</v>
      </c>
      <c r="Y85" s="4">
        <f t="shared" si="1"/>
        <v>52</v>
      </c>
      <c r="Z85" t="s">
        <v>173</v>
      </c>
      <c r="AA85" t="s">
        <v>47</v>
      </c>
      <c r="AB85" t="s">
        <v>59</v>
      </c>
      <c r="AC85" t="s">
        <v>49</v>
      </c>
      <c r="AD85" t="s">
        <v>145</v>
      </c>
      <c r="AE85" t="s">
        <v>51</v>
      </c>
      <c r="AF85">
        <v>1</v>
      </c>
      <c r="AG85" s="3">
        <v>6.1500000000006604E-5</v>
      </c>
      <c r="AH85">
        <v>3.8085678922900801</v>
      </c>
      <c r="AI85">
        <v>3.4446126760563298</v>
      </c>
      <c r="AJ85">
        <v>9.5562223525152298E-2</v>
      </c>
      <c r="AK85" s="1">
        <v>1</v>
      </c>
      <c r="AL85">
        <v>0</v>
      </c>
      <c r="AM85" s="1">
        <v>0.22489999999999999</v>
      </c>
      <c r="AN85">
        <v>253325658.53659999</v>
      </c>
      <c r="AO85">
        <v>3</v>
      </c>
      <c r="AP85">
        <v>232022070.857142</v>
      </c>
      <c r="AQ85">
        <v>1E-3</v>
      </c>
      <c r="AR85" t="s">
        <v>52</v>
      </c>
      <c r="AS85" t="s">
        <v>146</v>
      </c>
    </row>
    <row r="86" spans="1:45" x14ac:dyDescent="0.2">
      <c r="A86" t="s">
        <v>174</v>
      </c>
      <c r="B86">
        <v>0</v>
      </c>
      <c r="C86">
        <v>1</v>
      </c>
      <c r="D86">
        <v>0</v>
      </c>
      <c r="E86">
        <v>0</v>
      </c>
      <c r="F86">
        <v>1E-3</v>
      </c>
      <c r="G86">
        <v>2</v>
      </c>
      <c r="H86">
        <v>233731712</v>
      </c>
      <c r="I86">
        <v>1</v>
      </c>
      <c r="J86">
        <v>0</v>
      </c>
      <c r="K86">
        <v>0</v>
      </c>
      <c r="L86" s="1">
        <v>0</v>
      </c>
      <c r="M86">
        <v>24951214.829299901</v>
      </c>
      <c r="N86">
        <v>7</v>
      </c>
      <c r="O86">
        <v>5600</v>
      </c>
      <c r="P86">
        <v>3.58612169212395</v>
      </c>
      <c r="Q86">
        <v>3.58612169212395</v>
      </c>
      <c r="R86">
        <v>0</v>
      </c>
      <c r="S86">
        <v>0</v>
      </c>
      <c r="T86">
        <v>57051.61</v>
      </c>
      <c r="U86">
        <v>15909</v>
      </c>
      <c r="V86">
        <v>2025</v>
      </c>
      <c r="W86" s="2">
        <v>45768</v>
      </c>
      <c r="X86" s="2">
        <v>45722</v>
      </c>
      <c r="Y86" s="4">
        <f t="shared" si="1"/>
        <v>46</v>
      </c>
      <c r="Z86" t="s">
        <v>174</v>
      </c>
      <c r="AA86" t="s">
        <v>47</v>
      </c>
      <c r="AB86" t="s">
        <v>59</v>
      </c>
      <c r="AC86" t="s">
        <v>49</v>
      </c>
      <c r="AD86" t="s">
        <v>145</v>
      </c>
      <c r="AE86" t="s">
        <v>51</v>
      </c>
      <c r="AF86">
        <v>1</v>
      </c>
      <c r="AG86" s="3">
        <v>6.1499999999992401E-5</v>
      </c>
      <c r="AH86">
        <v>3.8085678922909501</v>
      </c>
      <c r="AI86">
        <v>3.58612169212395</v>
      </c>
      <c r="AJ86">
        <v>5.8406783457179298E-2</v>
      </c>
      <c r="AK86" s="1">
        <v>1</v>
      </c>
      <c r="AL86">
        <v>0</v>
      </c>
      <c r="AM86" s="1">
        <v>0.10680000000000001</v>
      </c>
      <c r="AN86">
        <v>239720585.36590001</v>
      </c>
      <c r="AO86">
        <v>3</v>
      </c>
      <c r="AP86">
        <v>232022070.857142</v>
      </c>
      <c r="AQ86">
        <v>1E-3</v>
      </c>
      <c r="AR86" t="s">
        <v>52</v>
      </c>
      <c r="AS86" t="s">
        <v>146</v>
      </c>
    </row>
    <row r="87" spans="1:45" x14ac:dyDescent="0.2">
      <c r="A87" t="s">
        <v>175</v>
      </c>
      <c r="B87">
        <v>0</v>
      </c>
      <c r="C87">
        <v>1</v>
      </c>
      <c r="D87">
        <v>0</v>
      </c>
      <c r="E87">
        <v>0</v>
      </c>
      <c r="F87">
        <v>1E-3</v>
      </c>
      <c r="G87">
        <v>2</v>
      </c>
      <c r="H87">
        <v>233731712</v>
      </c>
      <c r="I87">
        <v>1</v>
      </c>
      <c r="J87">
        <v>0</v>
      </c>
      <c r="K87">
        <v>0</v>
      </c>
      <c r="L87" s="1">
        <v>0</v>
      </c>
      <c r="M87">
        <v>2317068.4877999998</v>
      </c>
      <c r="N87">
        <v>7</v>
      </c>
      <c r="O87">
        <v>5600</v>
      </c>
      <c r="P87">
        <v>3.4705049252600402</v>
      </c>
      <c r="Q87">
        <v>3.4705049252600402</v>
      </c>
      <c r="R87">
        <v>0</v>
      </c>
      <c r="S87">
        <v>0</v>
      </c>
      <c r="T87">
        <v>50381.32</v>
      </c>
      <c r="U87">
        <v>14517</v>
      </c>
      <c r="V87">
        <v>2025</v>
      </c>
      <c r="W87" s="2">
        <v>45769</v>
      </c>
      <c r="X87" s="2">
        <v>45729</v>
      </c>
      <c r="Y87" s="4">
        <f t="shared" si="1"/>
        <v>40</v>
      </c>
      <c r="Z87" t="s">
        <v>175</v>
      </c>
      <c r="AA87" t="s">
        <v>47</v>
      </c>
      <c r="AB87" t="s">
        <v>59</v>
      </c>
      <c r="AC87" t="s">
        <v>49</v>
      </c>
      <c r="AD87" t="s">
        <v>145</v>
      </c>
      <c r="AE87" t="s">
        <v>51</v>
      </c>
      <c r="AF87">
        <v>1</v>
      </c>
      <c r="AG87" s="3">
        <v>6.1500000000001197E-5</v>
      </c>
      <c r="AH87">
        <v>3.80856789229041</v>
      </c>
      <c r="AI87">
        <v>3.4705049252600402</v>
      </c>
      <c r="AJ87">
        <v>8.8763802193130403E-2</v>
      </c>
      <c r="AK87" s="1">
        <v>1</v>
      </c>
      <c r="AL87">
        <v>0</v>
      </c>
      <c r="AM87" s="1">
        <v>9.9000000000000008E-3</v>
      </c>
      <c r="AN87">
        <v>1659745</v>
      </c>
      <c r="AO87">
        <v>3</v>
      </c>
      <c r="AP87">
        <v>232022070.857142</v>
      </c>
      <c r="AQ87">
        <v>1E-3</v>
      </c>
      <c r="AR87" t="s">
        <v>52</v>
      </c>
      <c r="AS87" t="s">
        <v>146</v>
      </c>
    </row>
    <row r="88" spans="1:45" x14ac:dyDescent="0.2">
      <c r="A88" t="s">
        <v>176</v>
      </c>
      <c r="B88">
        <v>0</v>
      </c>
      <c r="C88">
        <v>1</v>
      </c>
      <c r="D88">
        <v>0</v>
      </c>
      <c r="E88">
        <v>0</v>
      </c>
      <c r="F88">
        <v>1E-3</v>
      </c>
      <c r="G88">
        <v>2</v>
      </c>
      <c r="H88">
        <v>209902432</v>
      </c>
      <c r="I88">
        <v>1</v>
      </c>
      <c r="J88">
        <v>0</v>
      </c>
      <c r="K88">
        <v>0</v>
      </c>
      <c r="L88" s="1">
        <v>0</v>
      </c>
      <c r="M88">
        <v>7.0243999958038303</v>
      </c>
      <c r="N88">
        <v>7</v>
      </c>
      <c r="O88">
        <v>2300</v>
      </c>
      <c r="P88">
        <v>3.6171678673793402</v>
      </c>
      <c r="Q88">
        <v>3.6171678673793402</v>
      </c>
      <c r="R88">
        <v>0</v>
      </c>
      <c r="S88">
        <v>0</v>
      </c>
      <c r="T88">
        <v>46694.02</v>
      </c>
      <c r="U88">
        <v>12909</v>
      </c>
      <c r="V88">
        <v>2025</v>
      </c>
      <c r="W88" s="2">
        <v>45770</v>
      </c>
      <c r="X88" s="2">
        <v>45736</v>
      </c>
      <c r="Y88" s="4">
        <f t="shared" si="1"/>
        <v>34</v>
      </c>
      <c r="Z88" t="s">
        <v>176</v>
      </c>
      <c r="AA88" t="s">
        <v>47</v>
      </c>
      <c r="AB88" t="s">
        <v>59</v>
      </c>
      <c r="AC88" t="s">
        <v>49</v>
      </c>
      <c r="AD88" t="s">
        <v>145</v>
      </c>
      <c r="AE88" t="s">
        <v>51</v>
      </c>
      <c r="AF88">
        <v>1</v>
      </c>
      <c r="AG88" s="3">
        <v>6.1499999999997104E-5</v>
      </c>
      <c r="AH88">
        <v>3.8085678922906601</v>
      </c>
      <c r="AI88">
        <v>3.6171678673793402</v>
      </c>
      <c r="AJ88">
        <v>5.0255116968967499E-2</v>
      </c>
      <c r="AK88" s="1">
        <v>1</v>
      </c>
      <c r="AL88">
        <v>0</v>
      </c>
      <c r="AM88" s="1">
        <v>0</v>
      </c>
      <c r="AN88">
        <v>1581275</v>
      </c>
      <c r="AO88">
        <v>3</v>
      </c>
      <c r="AP88">
        <v>232022070.857142</v>
      </c>
      <c r="AQ88">
        <v>1E-3</v>
      </c>
      <c r="AR88" t="s">
        <v>52</v>
      </c>
      <c r="AS88" t="s">
        <v>146</v>
      </c>
    </row>
    <row r="89" spans="1:45" x14ac:dyDescent="0.2">
      <c r="A89" t="s">
        <v>177</v>
      </c>
      <c r="B89">
        <v>0</v>
      </c>
      <c r="C89">
        <v>1</v>
      </c>
      <c r="D89">
        <v>0</v>
      </c>
      <c r="E89">
        <v>0</v>
      </c>
      <c r="F89">
        <v>1E-3</v>
      </c>
      <c r="G89">
        <v>1</v>
      </c>
      <c r="H89">
        <v>61.983595000000001</v>
      </c>
      <c r="I89">
        <v>1</v>
      </c>
      <c r="J89">
        <v>0</v>
      </c>
      <c r="K89">
        <v>0</v>
      </c>
      <c r="L89" s="1">
        <v>0</v>
      </c>
      <c r="M89">
        <v>47.216405000000002</v>
      </c>
      <c r="N89">
        <v>7</v>
      </c>
      <c r="O89">
        <v>1233</v>
      </c>
      <c r="P89">
        <v>3.5885714285714201</v>
      </c>
      <c r="Q89">
        <v>3.5885714285714201</v>
      </c>
      <c r="R89">
        <v>0</v>
      </c>
      <c r="S89">
        <v>0</v>
      </c>
      <c r="T89">
        <v>2009.6</v>
      </c>
      <c r="U89">
        <v>560</v>
      </c>
      <c r="V89">
        <v>2025</v>
      </c>
      <c r="W89" s="2">
        <v>45771</v>
      </c>
      <c r="X89" s="2">
        <v>45729</v>
      </c>
      <c r="Y89" s="4">
        <f t="shared" si="1"/>
        <v>42</v>
      </c>
      <c r="Z89" t="s">
        <v>177</v>
      </c>
      <c r="AA89" t="s">
        <v>47</v>
      </c>
      <c r="AB89" t="s">
        <v>178</v>
      </c>
      <c r="AC89" t="s">
        <v>49</v>
      </c>
      <c r="AD89" t="s">
        <v>145</v>
      </c>
      <c r="AE89" t="s">
        <v>51</v>
      </c>
      <c r="AF89">
        <v>1</v>
      </c>
      <c r="AG89">
        <v>5.1282051282051198</v>
      </c>
      <c r="AH89">
        <v>5.2475659229208897</v>
      </c>
      <c r="AI89">
        <v>3.5885714285714201</v>
      </c>
      <c r="AJ89">
        <v>0.31614552703437698</v>
      </c>
      <c r="AK89" s="1">
        <v>1</v>
      </c>
      <c r="AL89">
        <v>0</v>
      </c>
      <c r="AM89" s="1">
        <v>0.76180000000000003</v>
      </c>
      <c r="AN89">
        <v>1830270</v>
      </c>
      <c r="AO89">
        <v>3</v>
      </c>
      <c r="AP89">
        <v>246.80155641666599</v>
      </c>
      <c r="AQ89">
        <v>1E-3</v>
      </c>
      <c r="AR89" t="s">
        <v>52</v>
      </c>
      <c r="AS89" t="s">
        <v>179</v>
      </c>
    </row>
    <row r="90" spans="1:45" x14ac:dyDescent="0.2">
      <c r="A90" t="s">
        <v>180</v>
      </c>
      <c r="B90">
        <v>0</v>
      </c>
      <c r="C90">
        <v>1</v>
      </c>
      <c r="D90">
        <v>0</v>
      </c>
      <c r="E90">
        <v>0</v>
      </c>
      <c r="F90">
        <v>1E-3</v>
      </c>
      <c r="G90">
        <v>1</v>
      </c>
      <c r="H90">
        <v>61.787070999999997</v>
      </c>
      <c r="I90">
        <v>1</v>
      </c>
      <c r="J90">
        <v>0</v>
      </c>
      <c r="K90">
        <v>0</v>
      </c>
      <c r="L90" s="1">
        <v>0</v>
      </c>
      <c r="M90">
        <v>38.442928999999999</v>
      </c>
      <c r="N90">
        <v>28</v>
      </c>
      <c r="O90">
        <v>1233</v>
      </c>
      <c r="P90">
        <v>3.82587548638132</v>
      </c>
      <c r="Q90">
        <v>3.82587548638132</v>
      </c>
      <c r="R90">
        <v>0</v>
      </c>
      <c r="S90">
        <v>0</v>
      </c>
      <c r="T90">
        <v>1966.5</v>
      </c>
      <c r="U90">
        <v>514</v>
      </c>
      <c r="V90">
        <v>2025</v>
      </c>
      <c r="W90" s="2">
        <v>45772</v>
      </c>
      <c r="X90" s="2">
        <v>45736</v>
      </c>
      <c r="Y90" s="4">
        <f t="shared" si="1"/>
        <v>36</v>
      </c>
      <c r="Z90" t="s">
        <v>180</v>
      </c>
      <c r="AA90" t="s">
        <v>47</v>
      </c>
      <c r="AB90" t="s">
        <v>178</v>
      </c>
      <c r="AC90" t="s">
        <v>49</v>
      </c>
      <c r="AD90" t="s">
        <v>145</v>
      </c>
      <c r="AE90" t="s">
        <v>51</v>
      </c>
      <c r="AF90">
        <v>1</v>
      </c>
      <c r="AG90">
        <v>5.1282051282051198</v>
      </c>
      <c r="AH90">
        <v>5.2475659229208897</v>
      </c>
      <c r="AI90">
        <v>3.82587548638132</v>
      </c>
      <c r="AJ90">
        <v>0.27092378779459497</v>
      </c>
      <c r="AK90" s="1">
        <v>1</v>
      </c>
      <c r="AL90">
        <v>0</v>
      </c>
      <c r="AM90" s="1">
        <v>0.62219999999999998</v>
      </c>
      <c r="AN90">
        <v>1464880</v>
      </c>
      <c r="AO90">
        <v>3</v>
      </c>
      <c r="AP90">
        <v>246.80155641666599</v>
      </c>
      <c r="AQ90">
        <v>1E-3</v>
      </c>
      <c r="AR90" t="s">
        <v>52</v>
      </c>
      <c r="AS90" t="s">
        <v>179</v>
      </c>
    </row>
    <row r="91" spans="1:45" x14ac:dyDescent="0.2">
      <c r="A91" t="s">
        <v>181</v>
      </c>
      <c r="B91">
        <v>0</v>
      </c>
      <c r="C91">
        <v>1</v>
      </c>
      <c r="D91">
        <v>0</v>
      </c>
      <c r="E91">
        <v>0</v>
      </c>
      <c r="F91">
        <v>1E-3</v>
      </c>
      <c r="G91">
        <v>1</v>
      </c>
      <c r="H91">
        <v>86.189997000000005</v>
      </c>
      <c r="I91">
        <v>1</v>
      </c>
      <c r="J91">
        <v>0</v>
      </c>
      <c r="K91">
        <v>0</v>
      </c>
      <c r="L91" s="1">
        <v>0</v>
      </c>
      <c r="M91">
        <v>45.240003000000002</v>
      </c>
      <c r="N91">
        <v>28</v>
      </c>
      <c r="O91">
        <v>1233</v>
      </c>
      <c r="P91">
        <v>3.3637240356082998</v>
      </c>
      <c r="Q91">
        <v>3.3637240356082998</v>
      </c>
      <c r="R91">
        <v>0</v>
      </c>
      <c r="S91">
        <v>0</v>
      </c>
      <c r="T91">
        <v>2267.15</v>
      </c>
      <c r="U91">
        <v>674</v>
      </c>
      <c r="V91">
        <v>2025</v>
      </c>
      <c r="W91" s="2">
        <v>45773</v>
      </c>
      <c r="X91" s="2">
        <v>45532</v>
      </c>
      <c r="Y91" s="4">
        <f t="shared" si="1"/>
        <v>241</v>
      </c>
      <c r="Z91" t="s">
        <v>181</v>
      </c>
      <c r="AA91" t="s">
        <v>47</v>
      </c>
      <c r="AB91" t="s">
        <v>178</v>
      </c>
      <c r="AC91" t="s">
        <v>49</v>
      </c>
      <c r="AD91" t="s">
        <v>145</v>
      </c>
      <c r="AE91" t="s">
        <v>51</v>
      </c>
      <c r="AF91">
        <v>1</v>
      </c>
      <c r="AG91">
        <v>5.1282051282051198</v>
      </c>
      <c r="AH91">
        <v>5.2230313588850104</v>
      </c>
      <c r="AI91">
        <v>3.3637240356082998</v>
      </c>
      <c r="AJ91">
        <v>0.35598241624833399</v>
      </c>
      <c r="AK91" s="1">
        <v>1</v>
      </c>
      <c r="AL91">
        <v>0</v>
      </c>
      <c r="AM91" s="1">
        <v>0.52490000000000003</v>
      </c>
      <c r="AN91">
        <v>1196240</v>
      </c>
      <c r="AO91">
        <v>8</v>
      </c>
      <c r="AP91">
        <v>246.80155641666599</v>
      </c>
      <c r="AQ91">
        <v>1E-3</v>
      </c>
      <c r="AR91" t="s">
        <v>52</v>
      </c>
      <c r="AS91" t="s">
        <v>179</v>
      </c>
    </row>
    <row r="92" spans="1:45" x14ac:dyDescent="0.2">
      <c r="A92" t="s">
        <v>182</v>
      </c>
      <c r="B92">
        <v>0</v>
      </c>
      <c r="C92">
        <v>1</v>
      </c>
      <c r="D92">
        <v>0</v>
      </c>
      <c r="E92">
        <v>0</v>
      </c>
      <c r="F92">
        <v>1E-3</v>
      </c>
      <c r="G92">
        <v>1</v>
      </c>
      <c r="H92">
        <v>203.60761199999999</v>
      </c>
      <c r="I92">
        <v>1</v>
      </c>
      <c r="J92">
        <v>0</v>
      </c>
      <c r="K92">
        <v>0</v>
      </c>
      <c r="L92" s="1">
        <v>0</v>
      </c>
      <c r="M92">
        <v>264.97738800000002</v>
      </c>
      <c r="N92">
        <v>28</v>
      </c>
      <c r="O92">
        <v>1233</v>
      </c>
      <c r="P92">
        <v>2.7537744486058999</v>
      </c>
      <c r="Q92">
        <v>2.7537744486058999</v>
      </c>
      <c r="R92">
        <v>0</v>
      </c>
      <c r="S92">
        <v>0</v>
      </c>
      <c r="T92">
        <v>6617.32</v>
      </c>
      <c r="U92">
        <v>2403</v>
      </c>
      <c r="V92">
        <v>2025</v>
      </c>
      <c r="W92" s="2">
        <v>45774</v>
      </c>
      <c r="X92" s="2">
        <v>45539</v>
      </c>
      <c r="Y92" s="4">
        <f t="shared" si="1"/>
        <v>235</v>
      </c>
      <c r="Z92" t="s">
        <v>182</v>
      </c>
      <c r="AA92" t="s">
        <v>47</v>
      </c>
      <c r="AB92" t="s">
        <v>178</v>
      </c>
      <c r="AC92" t="s">
        <v>49</v>
      </c>
      <c r="AD92" t="s">
        <v>145</v>
      </c>
      <c r="AE92" t="s">
        <v>51</v>
      </c>
      <c r="AF92">
        <v>1</v>
      </c>
      <c r="AG92">
        <v>5.1282051282051198</v>
      </c>
      <c r="AH92">
        <v>5.2230313588850104</v>
      </c>
      <c r="AI92">
        <v>2.7537744486058999</v>
      </c>
      <c r="AJ92">
        <v>0.47276317919833999</v>
      </c>
      <c r="AK92" s="1">
        <v>1</v>
      </c>
      <c r="AL92">
        <v>0</v>
      </c>
      <c r="AM92" s="1">
        <v>1.3013999999999999</v>
      </c>
      <c r="AN92">
        <v>1158221.6000000001</v>
      </c>
      <c r="AO92">
        <v>9</v>
      </c>
      <c r="AP92">
        <v>246.80155641666599</v>
      </c>
      <c r="AQ92">
        <v>1E-3</v>
      </c>
      <c r="AR92" t="s">
        <v>52</v>
      </c>
      <c r="AS92" t="s">
        <v>179</v>
      </c>
    </row>
    <row r="93" spans="1:45" x14ac:dyDescent="0.2">
      <c r="A93" t="s">
        <v>183</v>
      </c>
      <c r="B93">
        <v>0</v>
      </c>
      <c r="C93">
        <v>1</v>
      </c>
      <c r="D93">
        <v>0</v>
      </c>
      <c r="E93">
        <v>0</v>
      </c>
      <c r="F93">
        <v>1E-3</v>
      </c>
      <c r="G93">
        <v>1</v>
      </c>
      <c r="H93">
        <v>299.39457099999998</v>
      </c>
      <c r="I93">
        <v>1</v>
      </c>
      <c r="J93">
        <v>0</v>
      </c>
      <c r="K93">
        <v>0</v>
      </c>
      <c r="L93" s="1">
        <v>0</v>
      </c>
      <c r="M93">
        <v>686.72042899999997</v>
      </c>
      <c r="N93">
        <v>28</v>
      </c>
      <c r="O93">
        <v>1233</v>
      </c>
      <c r="P93">
        <v>2.6050444927822798</v>
      </c>
      <c r="Q93">
        <v>2.6050444927822798</v>
      </c>
      <c r="R93">
        <v>0</v>
      </c>
      <c r="S93">
        <v>0</v>
      </c>
      <c r="T93">
        <v>13173.71</v>
      </c>
      <c r="U93">
        <v>5057</v>
      </c>
      <c r="V93">
        <v>2025</v>
      </c>
      <c r="W93" s="2">
        <v>45775</v>
      </c>
      <c r="X93" s="2">
        <v>45546</v>
      </c>
      <c r="Y93" s="4">
        <f t="shared" si="1"/>
        <v>229</v>
      </c>
      <c r="Z93" t="s">
        <v>183</v>
      </c>
      <c r="AA93" t="s">
        <v>47</v>
      </c>
      <c r="AB93" t="s">
        <v>178</v>
      </c>
      <c r="AC93" t="s">
        <v>49</v>
      </c>
      <c r="AD93" t="s">
        <v>145</v>
      </c>
      <c r="AE93" t="s">
        <v>51</v>
      </c>
      <c r="AF93">
        <v>1</v>
      </c>
      <c r="AG93">
        <v>5.1282051282051198</v>
      </c>
      <c r="AH93">
        <v>5.2230313588850104</v>
      </c>
      <c r="AI93">
        <v>2.6050444927822798</v>
      </c>
      <c r="AJ93">
        <v>0.50123897143547003</v>
      </c>
      <c r="AK93" s="1">
        <v>1</v>
      </c>
      <c r="AL93">
        <v>0</v>
      </c>
      <c r="AM93" s="1">
        <v>2.2936999999999999</v>
      </c>
      <c r="AN93">
        <v>953749.6</v>
      </c>
      <c r="AO93">
        <v>9</v>
      </c>
      <c r="AP93">
        <v>246.80155641666599</v>
      </c>
      <c r="AQ93">
        <v>1E-3</v>
      </c>
      <c r="AR93" t="s">
        <v>52</v>
      </c>
      <c r="AS93" t="s">
        <v>179</v>
      </c>
    </row>
    <row r="94" spans="1:45" x14ac:dyDescent="0.2">
      <c r="A94" t="s">
        <v>184</v>
      </c>
      <c r="B94">
        <v>0</v>
      </c>
      <c r="C94">
        <v>1</v>
      </c>
      <c r="D94">
        <v>0</v>
      </c>
      <c r="E94">
        <v>0</v>
      </c>
      <c r="F94">
        <v>1E-3</v>
      </c>
      <c r="G94">
        <v>1</v>
      </c>
      <c r="H94">
        <v>383.30960599999997</v>
      </c>
      <c r="I94">
        <v>1</v>
      </c>
      <c r="J94">
        <v>0</v>
      </c>
      <c r="K94">
        <v>0</v>
      </c>
      <c r="L94" s="1">
        <v>0</v>
      </c>
      <c r="M94">
        <v>502.57539400000002</v>
      </c>
      <c r="N94">
        <v>28</v>
      </c>
      <c r="O94">
        <v>1233</v>
      </c>
      <c r="P94">
        <v>2.5391635483160901</v>
      </c>
      <c r="Q94">
        <v>2.5391635483160901</v>
      </c>
      <c r="R94">
        <v>0</v>
      </c>
      <c r="S94">
        <v>0</v>
      </c>
      <c r="T94">
        <v>11535.42</v>
      </c>
      <c r="U94">
        <v>4543</v>
      </c>
      <c r="V94">
        <v>2024</v>
      </c>
      <c r="W94" s="2">
        <v>45776</v>
      </c>
      <c r="X94" s="2">
        <v>45553</v>
      </c>
      <c r="Y94" s="4">
        <f t="shared" si="1"/>
        <v>223</v>
      </c>
      <c r="Z94" t="s">
        <v>184</v>
      </c>
      <c r="AA94" t="s">
        <v>47</v>
      </c>
      <c r="AB94" t="s">
        <v>178</v>
      </c>
      <c r="AC94" t="s">
        <v>49</v>
      </c>
      <c r="AD94" t="s">
        <v>145</v>
      </c>
      <c r="AE94" t="s">
        <v>51</v>
      </c>
      <c r="AF94">
        <v>1</v>
      </c>
      <c r="AG94">
        <v>5.1282051282051198</v>
      </c>
      <c r="AH94">
        <v>5.2230313588850104</v>
      </c>
      <c r="AI94">
        <v>2.5391635483160901</v>
      </c>
      <c r="AJ94">
        <v>0.51385251708346302</v>
      </c>
      <c r="AK94" s="1">
        <v>1</v>
      </c>
      <c r="AL94">
        <v>0</v>
      </c>
      <c r="AM94" s="1">
        <v>1.3110999999999999</v>
      </c>
      <c r="AN94">
        <v>2950000</v>
      </c>
      <c r="AO94">
        <v>9</v>
      </c>
      <c r="AP94">
        <v>246.80155641666599</v>
      </c>
      <c r="AQ94">
        <v>1E-3</v>
      </c>
      <c r="AR94" t="s">
        <v>52</v>
      </c>
      <c r="AS94" t="s">
        <v>179</v>
      </c>
    </row>
    <row r="95" spans="1:45" x14ac:dyDescent="0.2">
      <c r="A95" t="s">
        <v>185</v>
      </c>
      <c r="B95">
        <v>0</v>
      </c>
      <c r="C95">
        <v>1</v>
      </c>
      <c r="D95">
        <v>0</v>
      </c>
      <c r="E95">
        <v>0</v>
      </c>
      <c r="F95">
        <v>1E-3</v>
      </c>
      <c r="G95">
        <v>1</v>
      </c>
      <c r="H95">
        <v>409.781113</v>
      </c>
      <c r="I95">
        <v>1</v>
      </c>
      <c r="J95">
        <v>0</v>
      </c>
      <c r="K95">
        <v>0</v>
      </c>
      <c r="L95" s="1">
        <v>0</v>
      </c>
      <c r="M95">
        <v>478.833887</v>
      </c>
      <c r="N95">
        <v>28</v>
      </c>
      <c r="O95">
        <v>1233</v>
      </c>
      <c r="P95">
        <v>2.21532587228439</v>
      </c>
      <c r="Q95">
        <v>2.21532587228439</v>
      </c>
      <c r="R95">
        <v>0</v>
      </c>
      <c r="S95">
        <v>0</v>
      </c>
      <c r="T95">
        <v>10095.24</v>
      </c>
      <c r="U95">
        <v>4557</v>
      </c>
      <c r="V95">
        <v>2024</v>
      </c>
      <c r="W95" s="2">
        <v>45777</v>
      </c>
      <c r="X95" s="2">
        <v>45560</v>
      </c>
      <c r="Y95" s="4">
        <f t="shared" si="1"/>
        <v>217</v>
      </c>
      <c r="Z95" t="s">
        <v>185</v>
      </c>
      <c r="AA95" t="s">
        <v>47</v>
      </c>
      <c r="AB95" t="s">
        <v>178</v>
      </c>
      <c r="AC95" t="s">
        <v>49</v>
      </c>
      <c r="AD95" t="s">
        <v>145</v>
      </c>
      <c r="AE95" t="s">
        <v>51</v>
      </c>
      <c r="AF95">
        <v>1</v>
      </c>
      <c r="AG95">
        <v>5.1282051282051198</v>
      </c>
      <c r="AH95">
        <v>5.1220930232558102</v>
      </c>
      <c r="AI95">
        <v>2.21532587228439</v>
      </c>
      <c r="AJ95">
        <v>0.56749597045071898</v>
      </c>
      <c r="AK95" s="1">
        <v>1</v>
      </c>
      <c r="AL95">
        <v>0</v>
      </c>
      <c r="AM95" s="1">
        <v>1.1685000000000001</v>
      </c>
      <c r="AN95">
        <v>699905.1</v>
      </c>
      <c r="AO95">
        <v>9</v>
      </c>
      <c r="AP95">
        <v>246.80155641666599</v>
      </c>
      <c r="AQ95">
        <v>1E-3</v>
      </c>
      <c r="AR95" t="s">
        <v>52</v>
      </c>
      <c r="AS95" t="s">
        <v>179</v>
      </c>
    </row>
    <row r="96" spans="1:45" x14ac:dyDescent="0.2">
      <c r="A96" t="s">
        <v>186</v>
      </c>
      <c r="B96">
        <v>0</v>
      </c>
      <c r="C96">
        <v>1</v>
      </c>
      <c r="D96">
        <v>0</v>
      </c>
      <c r="E96">
        <v>0</v>
      </c>
      <c r="F96">
        <v>1E-3</v>
      </c>
      <c r="G96">
        <v>1</v>
      </c>
      <c r="H96">
        <v>377.520014</v>
      </c>
      <c r="I96">
        <v>1</v>
      </c>
      <c r="J96">
        <v>0</v>
      </c>
      <c r="K96">
        <v>0</v>
      </c>
      <c r="L96" s="1">
        <v>0</v>
      </c>
      <c r="M96">
        <v>336.56998599999997</v>
      </c>
      <c r="N96">
        <v>28</v>
      </c>
      <c r="O96">
        <v>1233</v>
      </c>
      <c r="P96">
        <v>2.3719634079737801</v>
      </c>
      <c r="Q96">
        <v>2.3719634079737801</v>
      </c>
      <c r="R96">
        <v>0</v>
      </c>
      <c r="S96">
        <v>0</v>
      </c>
      <c r="T96">
        <v>8686.1299999999992</v>
      </c>
      <c r="U96">
        <v>3662</v>
      </c>
      <c r="V96">
        <v>2024</v>
      </c>
      <c r="W96" s="2">
        <v>45778</v>
      </c>
      <c r="X96" s="2">
        <v>45567</v>
      </c>
      <c r="Y96" s="4">
        <f t="shared" si="1"/>
        <v>211</v>
      </c>
      <c r="Z96" t="s">
        <v>186</v>
      </c>
      <c r="AA96" t="s">
        <v>47</v>
      </c>
      <c r="AB96" t="s">
        <v>178</v>
      </c>
      <c r="AC96" t="s">
        <v>49</v>
      </c>
      <c r="AD96" t="s">
        <v>145</v>
      </c>
      <c r="AE96" t="s">
        <v>51</v>
      </c>
      <c r="AF96">
        <v>1</v>
      </c>
      <c r="AG96">
        <v>5.1282051282051198</v>
      </c>
      <c r="AH96">
        <v>5.0858095238095196</v>
      </c>
      <c r="AI96">
        <v>2.3719634079737801</v>
      </c>
      <c r="AJ96">
        <v>0.53361143454757798</v>
      </c>
      <c r="AK96" s="1">
        <v>1</v>
      </c>
      <c r="AL96">
        <v>0</v>
      </c>
      <c r="AM96" s="1">
        <v>0.89149999999999996</v>
      </c>
      <c r="AN96">
        <v>611065</v>
      </c>
      <c r="AO96">
        <v>10</v>
      </c>
      <c r="AP96">
        <v>246.80155641666599</v>
      </c>
      <c r="AQ96">
        <v>1E-3</v>
      </c>
      <c r="AR96" t="s">
        <v>52</v>
      </c>
      <c r="AS96" t="s">
        <v>179</v>
      </c>
    </row>
    <row r="97" spans="1:45" x14ac:dyDescent="0.2">
      <c r="A97" t="s">
        <v>187</v>
      </c>
      <c r="B97">
        <v>0</v>
      </c>
      <c r="C97">
        <v>1</v>
      </c>
      <c r="D97">
        <v>0</v>
      </c>
      <c r="E97">
        <v>0</v>
      </c>
      <c r="F97">
        <v>1E-3</v>
      </c>
      <c r="G97">
        <v>1</v>
      </c>
      <c r="H97">
        <v>408.67970700000001</v>
      </c>
      <c r="I97">
        <v>1</v>
      </c>
      <c r="J97">
        <v>0</v>
      </c>
      <c r="K97">
        <v>0</v>
      </c>
      <c r="L97" s="1">
        <v>0</v>
      </c>
      <c r="M97">
        <v>1264.4201929999999</v>
      </c>
      <c r="N97">
        <v>28</v>
      </c>
      <c r="O97">
        <v>1233</v>
      </c>
      <c r="P97">
        <v>1.53881118881118</v>
      </c>
      <c r="Q97">
        <v>1.53881118881118</v>
      </c>
      <c r="R97">
        <v>0</v>
      </c>
      <c r="S97">
        <v>0</v>
      </c>
      <c r="T97">
        <v>13203</v>
      </c>
      <c r="U97">
        <v>8580</v>
      </c>
      <c r="V97">
        <v>2024</v>
      </c>
      <c r="W97" s="2">
        <v>45779</v>
      </c>
      <c r="X97" s="2">
        <v>45574</v>
      </c>
      <c r="Y97" s="4">
        <f t="shared" si="1"/>
        <v>205</v>
      </c>
      <c r="Z97" t="s">
        <v>187</v>
      </c>
      <c r="AA97" t="s">
        <v>47</v>
      </c>
      <c r="AB97" t="s">
        <v>178</v>
      </c>
      <c r="AC97" t="s">
        <v>49</v>
      </c>
      <c r="AD97" t="s">
        <v>145</v>
      </c>
      <c r="AE97" t="s">
        <v>51</v>
      </c>
      <c r="AF97">
        <v>1</v>
      </c>
      <c r="AG97">
        <v>5.12820543471432</v>
      </c>
      <c r="AH97">
        <v>5.0858092198342897</v>
      </c>
      <c r="AI97">
        <v>1.53881118881118</v>
      </c>
      <c r="AJ97">
        <v>0.69743041425739405</v>
      </c>
      <c r="AK97" s="1">
        <v>1</v>
      </c>
      <c r="AL97">
        <v>0</v>
      </c>
      <c r="AM97" s="1">
        <v>3.0939000000000001</v>
      </c>
      <c r="AN97">
        <v>551180</v>
      </c>
      <c r="AO97">
        <v>10</v>
      </c>
      <c r="AP97">
        <v>246.80155641666599</v>
      </c>
      <c r="AQ97">
        <v>1E-3</v>
      </c>
      <c r="AR97" t="s">
        <v>52</v>
      </c>
      <c r="AS97" t="s">
        <v>179</v>
      </c>
    </row>
    <row r="98" spans="1:45" x14ac:dyDescent="0.2">
      <c r="A98" t="s">
        <v>188</v>
      </c>
      <c r="B98">
        <v>0</v>
      </c>
      <c r="C98">
        <v>1</v>
      </c>
      <c r="D98">
        <v>0</v>
      </c>
      <c r="E98">
        <v>0</v>
      </c>
      <c r="F98">
        <v>1E-3</v>
      </c>
      <c r="G98">
        <v>1</v>
      </c>
      <c r="H98">
        <v>323.88809099999997</v>
      </c>
      <c r="I98">
        <v>1</v>
      </c>
      <c r="J98">
        <v>0</v>
      </c>
      <c r="K98">
        <v>0</v>
      </c>
      <c r="L98" s="1">
        <v>0</v>
      </c>
      <c r="M98">
        <v>524.94690900000001</v>
      </c>
      <c r="N98">
        <v>28</v>
      </c>
      <c r="O98">
        <v>1233</v>
      </c>
      <c r="P98">
        <v>1.4694831150930301</v>
      </c>
      <c r="Q98">
        <v>1.4694831150930301</v>
      </c>
      <c r="R98">
        <v>0</v>
      </c>
      <c r="S98">
        <v>0</v>
      </c>
      <c r="T98">
        <v>6396.66</v>
      </c>
      <c r="U98">
        <v>4353</v>
      </c>
      <c r="V98">
        <v>2024</v>
      </c>
      <c r="W98" s="2">
        <v>45780</v>
      </c>
      <c r="X98" s="2">
        <v>45581</v>
      </c>
      <c r="Y98" s="4">
        <f t="shared" si="1"/>
        <v>199</v>
      </c>
      <c r="Z98" t="s">
        <v>188</v>
      </c>
      <c r="AA98" t="s">
        <v>47</v>
      </c>
      <c r="AB98" t="s">
        <v>178</v>
      </c>
      <c r="AC98" t="s">
        <v>49</v>
      </c>
      <c r="AD98" t="s">
        <v>145</v>
      </c>
      <c r="AE98" t="s">
        <v>51</v>
      </c>
      <c r="AF98">
        <v>1</v>
      </c>
      <c r="AG98">
        <v>5.1282051282051198</v>
      </c>
      <c r="AH98">
        <v>5.0858095238095196</v>
      </c>
      <c r="AI98">
        <v>1.4694831150930301</v>
      </c>
      <c r="AJ98">
        <v>0.71106210167455797</v>
      </c>
      <c r="AK98" s="1">
        <v>1</v>
      </c>
      <c r="AL98">
        <v>0</v>
      </c>
      <c r="AM98" s="1">
        <v>1.6208</v>
      </c>
      <c r="AN98">
        <v>585690</v>
      </c>
      <c r="AO98">
        <v>10</v>
      </c>
      <c r="AP98">
        <v>246.80155641666599</v>
      </c>
      <c r="AQ98">
        <v>1E-3</v>
      </c>
      <c r="AR98" t="s">
        <v>52</v>
      </c>
      <c r="AS98" t="s">
        <v>179</v>
      </c>
    </row>
    <row r="99" spans="1:45" x14ac:dyDescent="0.2">
      <c r="A99" t="s">
        <v>189</v>
      </c>
      <c r="B99">
        <v>0</v>
      </c>
      <c r="C99">
        <v>1</v>
      </c>
      <c r="D99">
        <v>0</v>
      </c>
      <c r="E99">
        <v>0</v>
      </c>
      <c r="F99">
        <v>1E-3</v>
      </c>
      <c r="G99">
        <v>1</v>
      </c>
      <c r="H99">
        <v>161.65499299999999</v>
      </c>
      <c r="I99">
        <v>1</v>
      </c>
      <c r="J99">
        <v>0</v>
      </c>
      <c r="K99">
        <v>0</v>
      </c>
      <c r="L99" s="1">
        <v>0</v>
      </c>
      <c r="M99">
        <v>120.70500699999999</v>
      </c>
      <c r="N99">
        <v>28</v>
      </c>
      <c r="O99">
        <v>1233</v>
      </c>
      <c r="P99">
        <v>1.5519198895027599</v>
      </c>
      <c r="Q99">
        <v>1.5519198895027599</v>
      </c>
      <c r="R99">
        <v>0</v>
      </c>
      <c r="S99">
        <v>0</v>
      </c>
      <c r="T99">
        <v>2247.1799999999998</v>
      </c>
      <c r="U99">
        <v>1448</v>
      </c>
      <c r="V99">
        <v>2024</v>
      </c>
      <c r="W99" s="2">
        <v>45781</v>
      </c>
      <c r="X99" s="2">
        <v>45588</v>
      </c>
      <c r="Y99" s="4">
        <f t="shared" si="1"/>
        <v>193</v>
      </c>
      <c r="Z99" t="s">
        <v>189</v>
      </c>
      <c r="AA99" t="s">
        <v>47</v>
      </c>
      <c r="AB99" t="s">
        <v>178</v>
      </c>
      <c r="AC99" t="s">
        <v>49</v>
      </c>
      <c r="AD99" t="s">
        <v>145</v>
      </c>
      <c r="AE99" t="s">
        <v>51</v>
      </c>
      <c r="AF99">
        <v>1</v>
      </c>
      <c r="AG99">
        <v>5.1282051282051198</v>
      </c>
      <c r="AH99">
        <v>5.0858095238095196</v>
      </c>
      <c r="AI99">
        <v>1.5519198895027599</v>
      </c>
      <c r="AJ99">
        <v>0.69485292710288105</v>
      </c>
      <c r="AK99" s="1">
        <v>1</v>
      </c>
      <c r="AL99">
        <v>0</v>
      </c>
      <c r="AM99" s="1">
        <v>0.74670000000000003</v>
      </c>
      <c r="AN99">
        <v>634655</v>
      </c>
      <c r="AO99">
        <v>10</v>
      </c>
      <c r="AP99">
        <v>246.80155641666599</v>
      </c>
      <c r="AQ99">
        <v>1E-3</v>
      </c>
      <c r="AR99" t="s">
        <v>52</v>
      </c>
      <c r="AS99" t="s">
        <v>179</v>
      </c>
    </row>
    <row r="100" spans="1:45" x14ac:dyDescent="0.2">
      <c r="A100" t="s">
        <v>190</v>
      </c>
      <c r="B100">
        <v>0</v>
      </c>
      <c r="C100">
        <v>1</v>
      </c>
      <c r="D100">
        <v>0</v>
      </c>
      <c r="E100">
        <v>0</v>
      </c>
      <c r="F100">
        <v>1E-3</v>
      </c>
      <c r="G100">
        <v>1</v>
      </c>
      <c r="H100">
        <v>85.848314999999999</v>
      </c>
      <c r="I100">
        <v>1</v>
      </c>
      <c r="J100">
        <v>0</v>
      </c>
      <c r="K100">
        <v>0</v>
      </c>
      <c r="L100" s="1">
        <v>0</v>
      </c>
      <c r="M100">
        <v>78.731684999999999</v>
      </c>
      <c r="N100">
        <v>28</v>
      </c>
      <c r="O100">
        <v>1233</v>
      </c>
      <c r="P100">
        <v>3.1545023696682399</v>
      </c>
      <c r="Q100">
        <v>3.1545023696682399</v>
      </c>
      <c r="R100">
        <v>0</v>
      </c>
      <c r="S100">
        <v>0</v>
      </c>
      <c r="T100">
        <v>1331.2</v>
      </c>
      <c r="U100">
        <v>422</v>
      </c>
      <c r="V100">
        <v>2024</v>
      </c>
      <c r="W100" s="2">
        <v>45782</v>
      </c>
      <c r="X100" s="2">
        <v>45582</v>
      </c>
      <c r="Y100" s="4">
        <f t="shared" si="1"/>
        <v>200</v>
      </c>
      <c r="Z100" t="s">
        <v>190</v>
      </c>
      <c r="AA100" t="s">
        <v>47</v>
      </c>
      <c r="AB100" t="s">
        <v>191</v>
      </c>
      <c r="AC100" t="s">
        <v>49</v>
      </c>
      <c r="AD100" t="s">
        <v>145</v>
      </c>
      <c r="AE100" t="s">
        <v>51</v>
      </c>
      <c r="AF100">
        <v>1</v>
      </c>
      <c r="AG100">
        <v>2.5641025641025599</v>
      </c>
      <c r="AH100">
        <v>4.9042148760330502</v>
      </c>
      <c r="AI100">
        <v>3.1545023696682399</v>
      </c>
      <c r="AJ100">
        <v>0.35677729271522501</v>
      </c>
      <c r="AK100" s="1">
        <v>1</v>
      </c>
      <c r="AL100">
        <v>0</v>
      </c>
      <c r="AM100" s="1">
        <v>0.91710000000000003</v>
      </c>
      <c r="AN100">
        <v>777735</v>
      </c>
      <c r="AO100">
        <v>10</v>
      </c>
      <c r="AP100">
        <v>124.515024222222</v>
      </c>
      <c r="AQ100">
        <v>1E-3</v>
      </c>
      <c r="AR100" t="s">
        <v>52</v>
      </c>
      <c r="AS100" t="s">
        <v>192</v>
      </c>
    </row>
    <row r="101" spans="1:45" x14ac:dyDescent="0.2">
      <c r="A101" t="s">
        <v>193</v>
      </c>
      <c r="B101">
        <v>0</v>
      </c>
      <c r="C101">
        <v>1</v>
      </c>
      <c r="D101">
        <v>0</v>
      </c>
      <c r="E101">
        <v>0</v>
      </c>
      <c r="F101">
        <v>1E-3</v>
      </c>
      <c r="G101">
        <v>1</v>
      </c>
      <c r="H101">
        <v>106.043003</v>
      </c>
      <c r="I101">
        <v>1</v>
      </c>
      <c r="J101">
        <v>0</v>
      </c>
      <c r="K101">
        <v>0</v>
      </c>
      <c r="L101" s="1">
        <v>0</v>
      </c>
      <c r="M101">
        <v>41.766997000000003</v>
      </c>
      <c r="N101">
        <v>7</v>
      </c>
      <c r="O101">
        <v>1233</v>
      </c>
      <c r="P101">
        <v>3.92116094986807</v>
      </c>
      <c r="Q101">
        <v>3.92116094986807</v>
      </c>
      <c r="R101">
        <v>0</v>
      </c>
      <c r="S101">
        <v>0</v>
      </c>
      <c r="T101">
        <v>1486.12</v>
      </c>
      <c r="U101">
        <v>379</v>
      </c>
      <c r="V101">
        <v>2024</v>
      </c>
      <c r="W101" s="2">
        <v>45783</v>
      </c>
      <c r="X101" s="2">
        <v>45589</v>
      </c>
      <c r="Y101" s="4">
        <f t="shared" si="1"/>
        <v>194</v>
      </c>
      <c r="Z101" t="s">
        <v>193</v>
      </c>
      <c r="AA101" t="s">
        <v>47</v>
      </c>
      <c r="AB101" t="s">
        <v>191</v>
      </c>
      <c r="AC101" t="s">
        <v>49</v>
      </c>
      <c r="AD101" t="s">
        <v>145</v>
      </c>
      <c r="AE101" t="s">
        <v>51</v>
      </c>
      <c r="AF101">
        <v>1</v>
      </c>
      <c r="AG101">
        <v>2.5641025641025599</v>
      </c>
      <c r="AH101">
        <v>4.9042148760330502</v>
      </c>
      <c r="AI101">
        <v>3.92116094986807</v>
      </c>
      <c r="AJ101">
        <v>0.20045082668974701</v>
      </c>
      <c r="AK101" s="1">
        <v>1</v>
      </c>
      <c r="AL101">
        <v>0</v>
      </c>
      <c r="AM101" s="1">
        <v>0.39389999999999997</v>
      </c>
      <c r="AN101">
        <v>735910</v>
      </c>
      <c r="AO101">
        <v>10</v>
      </c>
      <c r="AP101">
        <v>124.515024222222</v>
      </c>
      <c r="AQ101">
        <v>1E-3</v>
      </c>
      <c r="AR101" t="s">
        <v>52</v>
      </c>
      <c r="AS101" t="s">
        <v>192</v>
      </c>
    </row>
    <row r="102" spans="1:45" x14ac:dyDescent="0.2">
      <c r="A102" t="s">
        <v>194</v>
      </c>
      <c r="B102">
        <v>0</v>
      </c>
      <c r="C102">
        <v>1</v>
      </c>
      <c r="D102">
        <v>0</v>
      </c>
      <c r="E102">
        <v>0</v>
      </c>
      <c r="F102">
        <v>1E-3</v>
      </c>
      <c r="G102">
        <v>1</v>
      </c>
      <c r="H102">
        <v>106.275002</v>
      </c>
      <c r="I102">
        <v>1</v>
      </c>
      <c r="J102">
        <v>0</v>
      </c>
      <c r="K102">
        <v>0</v>
      </c>
      <c r="L102" s="1">
        <v>0</v>
      </c>
      <c r="M102">
        <v>10.724997999999999</v>
      </c>
      <c r="N102">
        <v>7</v>
      </c>
      <c r="O102">
        <v>1233</v>
      </c>
      <c r="P102">
        <v>4.6638333333333302</v>
      </c>
      <c r="Q102">
        <v>4.6638333333333302</v>
      </c>
      <c r="R102">
        <v>0</v>
      </c>
      <c r="S102">
        <v>0</v>
      </c>
      <c r="T102">
        <v>1399.15</v>
      </c>
      <c r="U102">
        <v>300</v>
      </c>
      <c r="V102">
        <v>2024</v>
      </c>
      <c r="W102" s="2">
        <v>45784</v>
      </c>
      <c r="X102" s="2">
        <v>45596</v>
      </c>
      <c r="Y102" s="4">
        <f t="shared" si="1"/>
        <v>188</v>
      </c>
      <c r="Z102" t="s">
        <v>194</v>
      </c>
      <c r="AA102" t="s">
        <v>47</v>
      </c>
      <c r="AB102" t="s">
        <v>191</v>
      </c>
      <c r="AC102" t="s">
        <v>49</v>
      </c>
      <c r="AD102" t="s">
        <v>145</v>
      </c>
      <c r="AE102" t="s">
        <v>51</v>
      </c>
      <c r="AF102">
        <v>1</v>
      </c>
      <c r="AG102">
        <v>2.5641025641025599</v>
      </c>
      <c r="AH102">
        <v>4.9042148760330502</v>
      </c>
      <c r="AI102">
        <v>4.6638333333333302</v>
      </c>
      <c r="AJ102">
        <v>4.9015295776388398E-2</v>
      </c>
      <c r="AK102" s="1">
        <v>1</v>
      </c>
      <c r="AL102">
        <v>0</v>
      </c>
      <c r="AM102" s="1">
        <v>0.1009</v>
      </c>
      <c r="AN102">
        <v>963109.7</v>
      </c>
      <c r="AO102">
        <v>11</v>
      </c>
      <c r="AP102">
        <v>124.515024222222</v>
      </c>
      <c r="AQ102">
        <v>1E-3</v>
      </c>
      <c r="AR102" t="s">
        <v>52</v>
      </c>
      <c r="AS102" t="s">
        <v>192</v>
      </c>
    </row>
    <row r="103" spans="1:45" x14ac:dyDescent="0.2">
      <c r="A103" t="s">
        <v>195</v>
      </c>
      <c r="B103">
        <v>0</v>
      </c>
      <c r="C103">
        <v>1</v>
      </c>
      <c r="D103">
        <v>0</v>
      </c>
      <c r="E103">
        <v>0</v>
      </c>
      <c r="F103">
        <v>1E-3</v>
      </c>
      <c r="G103">
        <v>1</v>
      </c>
      <c r="H103">
        <v>125.249439</v>
      </c>
      <c r="I103">
        <v>1</v>
      </c>
      <c r="J103">
        <v>0</v>
      </c>
      <c r="K103">
        <v>0</v>
      </c>
      <c r="L103" s="1">
        <v>0</v>
      </c>
      <c r="M103">
        <v>114.600561</v>
      </c>
      <c r="N103">
        <v>7</v>
      </c>
      <c r="O103">
        <v>1233</v>
      </c>
      <c r="P103">
        <v>4.0153008130081203</v>
      </c>
      <c r="Q103">
        <v>4.0153008130081203</v>
      </c>
      <c r="R103">
        <v>0</v>
      </c>
      <c r="S103">
        <v>0</v>
      </c>
      <c r="T103">
        <v>2469.41</v>
      </c>
      <c r="U103">
        <v>615</v>
      </c>
      <c r="V103">
        <v>2024</v>
      </c>
      <c r="W103" s="2">
        <v>45785</v>
      </c>
      <c r="X103" s="2">
        <v>45603</v>
      </c>
      <c r="Y103" s="4">
        <f t="shared" si="1"/>
        <v>182</v>
      </c>
      <c r="Z103" t="s">
        <v>195</v>
      </c>
      <c r="AA103" t="s">
        <v>47</v>
      </c>
      <c r="AB103" t="s">
        <v>191</v>
      </c>
      <c r="AC103" t="s">
        <v>49</v>
      </c>
      <c r="AD103" t="s">
        <v>145</v>
      </c>
      <c r="AE103" t="s">
        <v>51</v>
      </c>
      <c r="AF103">
        <v>1</v>
      </c>
      <c r="AG103">
        <v>2.5641025641025599</v>
      </c>
      <c r="AH103">
        <v>4.9042148760330502</v>
      </c>
      <c r="AI103">
        <v>4.0153008130081203</v>
      </c>
      <c r="AJ103">
        <v>0.181255121460737</v>
      </c>
      <c r="AK103" s="1">
        <v>1</v>
      </c>
      <c r="AL103">
        <v>0</v>
      </c>
      <c r="AM103" s="1">
        <v>0.91500000000000004</v>
      </c>
      <c r="AN103">
        <v>1019177.25</v>
      </c>
      <c r="AO103">
        <v>11</v>
      </c>
      <c r="AP103">
        <v>124.515024222222</v>
      </c>
      <c r="AQ103">
        <v>1E-3</v>
      </c>
      <c r="AR103" t="s">
        <v>52</v>
      </c>
      <c r="AS10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Manavi Sharma</dc:creator>
  <cp:lastModifiedBy>Manavi Sharma</cp:lastModifiedBy>
  <dcterms:created xsi:type="dcterms:W3CDTF">2024-03-11T09:26:46Z</dcterms:created>
  <dcterms:modified xsi:type="dcterms:W3CDTF">2024-03-12T06:20:47Z</dcterms:modified>
</cp:coreProperties>
</file>